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120" yWindow="110" windowWidth="15120" windowHeight="8010" activeTab="2"/>
  </bookViews>
  <sheets>
    <sheet name="Диаграмма1" sheetId="4" r:id="rId1"/>
    <sheet name="Лист1" sheetId="1" r:id="rId2"/>
    <sheet name="Лист2" sheetId="2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H21" i="2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F14"/>
  <c r="G21" s="1"/>
  <c r="F21" l="1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AJ14"/>
  <c r="C4"/>
  <c r="C16" s="1"/>
  <c r="G18" i="1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F18"/>
  <c r="C37"/>
  <c r="C17"/>
  <c r="C15"/>
  <c r="C4"/>
  <c r="B21"/>
  <c r="AJ14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B21" i="2" l="1"/>
  <c r="C15"/>
  <c r="C17"/>
  <c r="G20" s="1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C36"/>
  <c r="C16" i="1"/>
  <c r="G19" s="1"/>
  <c r="H19" s="1"/>
  <c r="I19" s="1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G19" i="2" l="1"/>
  <c r="H19" s="1"/>
  <c r="H20"/>
  <c r="G20" i="1"/>
  <c r="H20" s="1"/>
  <c r="I20" s="1"/>
  <c r="I19" i="2" l="1"/>
  <c r="I20"/>
  <c r="J20" i="1"/>
  <c r="K20" s="1"/>
  <c r="J19" i="2" l="1"/>
  <c r="J20"/>
  <c r="L20" i="1"/>
  <c r="K19" i="2" l="1"/>
  <c r="K20"/>
  <c r="M20" i="1"/>
  <c r="L19" i="2" l="1"/>
  <c r="L20"/>
  <c r="N20" i="1"/>
  <c r="M19" i="2" l="1"/>
  <c r="M20"/>
  <c r="O20" i="1"/>
  <c r="N19" i="2" l="1"/>
  <c r="N20"/>
  <c r="P20" i="1"/>
  <c r="O19" i="2" l="1"/>
  <c r="O20"/>
  <c r="Q20" i="1"/>
  <c r="P19" i="2" l="1"/>
  <c r="P20"/>
  <c r="R20" i="1"/>
  <c r="Q19" i="2" l="1"/>
  <c r="Q20"/>
  <c r="S20" i="1"/>
  <c r="R19" i="2" l="1"/>
  <c r="R20"/>
  <c r="T20" i="1"/>
  <c r="S19" i="2" l="1"/>
  <c r="S20"/>
  <c r="U20" i="1"/>
  <c r="T19" i="2" l="1"/>
  <c r="T20"/>
  <c r="U20" s="1"/>
  <c r="V20" i="1"/>
  <c r="U19" i="2" l="1"/>
  <c r="W20" i="1"/>
  <c r="V19" i="2" l="1"/>
  <c r="V20"/>
  <c r="W20" s="1"/>
  <c r="X20" i="1"/>
  <c r="W19" i="2" l="1"/>
  <c r="X20" s="1"/>
  <c r="Y20" i="1"/>
  <c r="Y20" i="2" l="1"/>
  <c r="X19"/>
  <c r="Z20" i="1"/>
  <c r="Y19" i="2" l="1"/>
  <c r="AA20" i="1"/>
  <c r="Z19" i="2" l="1"/>
  <c r="Z20"/>
  <c r="AB20" i="1"/>
  <c r="AA19" i="2" l="1"/>
  <c r="AA20"/>
  <c r="AC20" i="1"/>
  <c r="AB19" i="2" l="1"/>
  <c r="AB20"/>
  <c r="AD20" i="1"/>
  <c r="AC19" i="2" l="1"/>
  <c r="AC20"/>
  <c r="AE20" i="1"/>
  <c r="AD19" i="2" l="1"/>
  <c r="AD20"/>
  <c r="AF20" i="1"/>
  <c r="AE19" i="2" l="1"/>
  <c r="AE20"/>
  <c r="AG20" i="1"/>
  <c r="AF19" i="2" l="1"/>
  <c r="AF20"/>
  <c r="AH20" i="1"/>
  <c r="AG19" i="2" l="1"/>
  <c r="AG20"/>
  <c r="AI20" i="1"/>
  <c r="AH19" i="2" l="1"/>
  <c r="AH20"/>
  <c r="AI17" i="1"/>
  <c r="AH17" s="1"/>
  <c r="AG17" s="1"/>
  <c r="AF17" s="1"/>
  <c r="AE17" s="1"/>
  <c r="AD17" s="1"/>
  <c r="AC17" s="1"/>
  <c r="AB17" s="1"/>
  <c r="AA17" s="1"/>
  <c r="Z17" s="1"/>
  <c r="Y17" s="1"/>
  <c r="X17" s="1"/>
  <c r="W17" s="1"/>
  <c r="V17" s="1"/>
  <c r="U17" s="1"/>
  <c r="T17" s="1"/>
  <c r="S17" s="1"/>
  <c r="R17" s="1"/>
  <c r="Q17" s="1"/>
  <c r="P17" s="1"/>
  <c r="O17" s="1"/>
  <c r="N17" s="1"/>
  <c r="M17" s="1"/>
  <c r="L17" s="1"/>
  <c r="K17" s="1"/>
  <c r="J17" s="1"/>
  <c r="I17" s="1"/>
  <c r="H17" s="1"/>
  <c r="G17" s="1"/>
  <c r="AI19" i="2" l="1"/>
  <c r="AI20"/>
  <c r="F18"/>
  <c r="AI17" l="1"/>
  <c r="AH17" s="1"/>
  <c r="AG17" s="1"/>
  <c r="AF17" s="1"/>
  <c r="AE17" s="1"/>
  <c r="AD17" s="1"/>
  <c r="AC17" s="1"/>
  <c r="AB17" s="1"/>
  <c r="AA17" s="1"/>
  <c r="Z17" s="1"/>
  <c r="Y17" s="1"/>
  <c r="X17" s="1"/>
  <c r="W17" s="1"/>
  <c r="V17" s="1"/>
  <c r="U17" s="1"/>
  <c r="T17" s="1"/>
  <c r="S17" s="1"/>
  <c r="R17" s="1"/>
  <c r="Q17" s="1"/>
  <c r="P17" s="1"/>
  <c r="O17" s="1"/>
  <c r="N17" s="1"/>
  <c r="M17" s="1"/>
  <c r="L17" s="1"/>
  <c r="K17" s="1"/>
  <c r="J17" s="1"/>
  <c r="I17" s="1"/>
  <c r="H17" s="1"/>
  <c r="G17" s="1"/>
</calcChain>
</file>

<file path=xl/sharedStrings.xml><?xml version="1.0" encoding="utf-8"?>
<sst xmlns="http://schemas.openxmlformats.org/spreadsheetml/2006/main" count="38" uniqueCount="18">
  <si>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</si>
  <si>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</si>
  <si>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</si>
  <si>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</si>
  <si>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</si>
  <si>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</si>
  <si>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</si>
  <si>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</si>
  <si>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</si>
  <si>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</si>
  <si>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</si>
  <si>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alfa</t>
  </si>
  <si>
    <t>A</t>
  </si>
  <si>
    <t>B</t>
  </si>
  <si>
    <t>C</t>
  </si>
  <si>
    <t>F</t>
  </si>
  <si>
    <t>betta</t>
  </si>
  <si>
    <t>Q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</si>
</sst>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ru-RU"/>
  <c:chart>
    <c:plotArea>
      <c:layout/>
      <c:barChart>
        <c:barDir val="col"/>
        <c:grouping val="clustered"/>
        <c:axId val="116827648"/>
        <c:axId val="116829184"/>
      </c:barChart>
      <c:catAx>
        <c:axId val="116827648"/>
        <c:scaling>
          <c:orientation val="minMax"/>
        </c:scaling>
        <c:axPos val="b"/>
        <c:tickLblPos val="nextTo"/>
        <c:crossAx val="116829184"/>
        <c:crosses val="autoZero"/>
        <c:auto val="1"/>
        <c:lblAlgn val="ctr"/>
        <c:lblOffset val="100"/>
      </c:catAx>
      <c:valAx>
        <c:axId val="116829184"/>
        <c:scaling>
          <c:orientation val="minMax"/>
        </c:scaling>
        <c:axPos val="l"/>
        <c:majorGridlines/>
        <c:tickLblPos val="nextTo"/>
        <c:crossAx val="116827648"/>
        <c:crosses val="autoZero"/>
        <c:crossBetween val="between"/>
      </c:valAx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6"/>
  <c:chart>
    <c:autoTitleDeleted val="1"/>
    <c:plotArea>
      <c:layout>
        <c:manualLayout>
          <c:layoutTarget val="inner"/>
          <c:xMode val="edge"/>
          <c:yMode val="edge"/>
          <c:x val="0.18211351706036744"/>
          <c:y val="0.13481366409308412"/>
          <c:w val="0.6519835958005249"/>
          <c:h val="0.75912153638545776"/>
        </c:manualLayout>
      </c:layout>
      <c:scatterChart>
        <c:scatterStyle val="smoothMarker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xVal>
            <c:numRef>
              <c:f>Лист1!$F$13:$AJ$13</c:f>
              <c:numCache>
                <c:formatCode>0,00</c:formatCode>
                <c:ptCount val="31"/>
                <c:pt idx="0" formatCode="Основной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Основной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121.94156398539596</c:v>
                </c:pt>
                <c:pt idx="2">
                  <c:v>49.565816758135099</c:v>
                </c:pt>
                <c:pt idx="3">
                  <c:v>20.147110721258002</c:v>
                </c:pt>
                <c:pt idx="4">
                  <c:v>8.1892339761378388</c:v>
                </c:pt>
                <c:pt idx="5">
                  <c:v>3.3286933436704702</c:v>
                </c:pt>
                <c:pt idx="6">
                  <c:v>1.3530202757175105</c:v>
                </c:pt>
                <c:pt idx="7">
                  <c:v>0.54996478005306004</c:v>
                </c:pt>
                <c:pt idx="8">
                  <c:v>0.22354542710126168</c:v>
                </c:pt>
                <c:pt idx="9">
                  <c:v>9.0865444303890139E-2</c:v>
                </c:pt>
                <c:pt idx="10">
                  <c:v>3.6935513236556722E-2</c:v>
                </c:pt>
                <c:pt idx="11">
                  <c:v>1.5016360307572479E-2</c:v>
                </c:pt>
                <c:pt idx="12">
                  <c:v>6.11138631181772E-3</c:v>
                </c:pt>
                <c:pt idx="13">
                  <c:v>2.5029471196383189E-3</c:v>
                </c:pt>
                <c:pt idx="14">
                  <c:v>1.0637287644787948E-3</c:v>
                </c:pt>
                <c:pt idx="15">
                  <c:v>5.4640867186755992E-4</c:v>
                </c:pt>
                <c:pt idx="16">
                  <c:v>5.0264276154154378E-4</c:v>
                </c:pt>
                <c:pt idx="17">
                  <c:v>8.9450057788486572E-4</c:v>
                </c:pt>
                <c:pt idx="18">
                  <c:v>2.0615922283950712E-3</c:v>
                </c:pt>
                <c:pt idx="19">
                  <c:v>5.0153971435143389E-3</c:v>
                </c:pt>
                <c:pt idx="20">
                  <c:v>1.2315879583012704E-2</c:v>
                </c:pt>
                <c:pt idx="21">
                  <c:v>3.0290124327788746E-2</c:v>
                </c:pt>
                <c:pt idx="22">
                  <c:v>7.451581015664839E-2</c:v>
                </c:pt>
                <c:pt idx="23">
                  <c:v>0.18332186478793669</c:v>
                </c:pt>
                <c:pt idx="24">
                  <c:v>0.45100686890210356</c:v>
                </c:pt>
                <c:pt idx="25">
                  <c:v>1.1095644927314272</c:v>
                </c:pt>
                <c:pt idx="26">
                  <c:v>2.7297446769279881</c:v>
                </c:pt>
                <c:pt idx="27">
                  <c:v>6.7157035811288068</c:v>
                </c:pt>
                <c:pt idx="28">
                  <c:v>16.521938922307928</c:v>
                </c:pt>
                <c:pt idx="29">
                  <c:v>40.647187996153924</c:v>
                </c:pt>
                <c:pt idx="30">
                  <c:v>100</c:v>
                </c:pt>
              </c:numCache>
            </c:numRef>
          </c:yVal>
          <c:smooth val="1"/>
        </c:ser>
        <c:axId val="116865664"/>
        <c:axId val="116874240"/>
      </c:scatterChart>
      <c:valAx>
        <c:axId val="116865664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</a:t>
                </a:r>
                <a:r>
                  <a:rPr lang="en-US" baseline="0"/>
                  <a:t> 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546631671041098"/>
              <c:y val="0.85382130548057722"/>
            </c:manualLayout>
          </c:layout>
        </c:title>
        <c:numFmt formatCode="Основной" sourceLinked="1"/>
        <c:tickLblPos val="nextTo"/>
        <c:crossAx val="116874240"/>
        <c:crosses val="autoZero"/>
        <c:crossBetween val="midCat"/>
      </c:valAx>
      <c:valAx>
        <c:axId val="116874240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4166666666666666"/>
              <c:y val="2.8904608805864988E-2"/>
            </c:manualLayout>
          </c:layout>
        </c:title>
        <c:numFmt formatCode="Основной" sourceLinked="1"/>
        <c:tickLblPos val="nextTo"/>
        <c:crossAx val="116865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9201377952755878"/>
          <c:y val="0.45924958797819015"/>
          <c:w val="9.6875109361329828E-2"/>
          <c:h val="7.5938706211814144E-2"/>
        </c:manualLayout>
      </c:layout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6"/>
  <c:chart>
    <c:autoTitleDeleted val="1"/>
    <c:plotArea>
      <c:layout>
        <c:manualLayout>
          <c:layoutTarget val="inner"/>
          <c:xMode val="edge"/>
          <c:yMode val="edge"/>
          <c:x val="0.12437900581576238"/>
          <c:y val="0.24273753511889451"/>
          <c:w val="0.74350341207349124"/>
          <c:h val="0.5467186680287387"/>
        </c:manualLayout>
      </c:layout>
      <c:scatterChart>
        <c:scatterStyle val="smoothMarker"/>
        <c:ser>
          <c:idx val="0"/>
          <c:order val="0"/>
          <c:tx>
            <c:strRef>
              <c:f>[1]Лист1!$E$14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[1]Лист1!$F$13:$AJ$13</c:f>
              <c:numCache>
                <c:formatCode>Основной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</c:ser>
        <c:axId val="105011840"/>
        <c:axId val="105022208"/>
      </c:scatterChart>
      <c:valAx>
        <c:axId val="105011840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L, [</a:t>
                </a:r>
                <a:r>
                  <a:rPr lang="ru-RU" sz="1800" b="1" i="0" baseline="0"/>
                  <a:t>М</a:t>
                </a:r>
                <a:r>
                  <a:rPr lang="en-US" sz="1800" b="1" i="0" baseline="0"/>
                  <a:t>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0.88837042869641292"/>
              <c:y val="0.72905886294158528"/>
            </c:manualLayout>
          </c:layout>
        </c:title>
        <c:numFmt formatCode="Основной" sourceLinked="1"/>
        <c:majorTickMark val="none"/>
        <c:tickLblPos val="nextTo"/>
        <c:crossAx val="105022208"/>
        <c:crosses val="autoZero"/>
        <c:crossBetween val="midCat"/>
      </c:valAx>
      <c:valAx>
        <c:axId val="10502220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1800" b="1" i="0" baseline="0"/>
                  <a:t>T, [C]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8.4175153105861794E-2"/>
              <c:y val="8.3901031129871614E-2"/>
            </c:manualLayout>
          </c:layout>
        </c:title>
        <c:numFmt formatCode="Основной" sourceLinked="1"/>
        <c:majorTickMark val="none"/>
        <c:tickLblPos val="nextTo"/>
        <c:crossAx val="105011840"/>
        <c:crosses val="autoZero"/>
        <c:crossBetween val="midCat"/>
      </c:valAx>
    </c:plotArea>
    <c:legend>
      <c:legendPos val="b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6"/>
  <c:chart>
    <c:autoTitleDeleted val="1"/>
    <c:plotArea>
      <c:layout>
        <c:manualLayout>
          <c:layoutTarget val="inner"/>
          <c:xMode val="edge"/>
          <c:yMode val="edge"/>
          <c:x val="0.12437900581576238"/>
          <c:y val="0.24273753511889468"/>
          <c:w val="0.74350341207349224"/>
          <c:h val="0.5467186680287387"/>
        </c:manualLayout>
      </c:layout>
      <c:scatterChart>
        <c:scatterStyle val="smoothMarker"/>
        <c:ser>
          <c:idx val="1"/>
          <c:order val="0"/>
          <c:xVal>
            <c:numRef>
              <c:f>Лист2!$G$13:$AK$13</c:f>
              <c:numCache>
                <c:formatCode>0,00</c:formatCode>
                <c:ptCount val="31"/>
                <c:pt idx="0">
                  <c:v>3.3333333333333335E-3</c:v>
                </c:pt>
                <c:pt idx="1">
                  <c:v>6.6666666666666671E-3</c:v>
                </c:pt>
                <c:pt idx="2">
                  <c:v>0.01</c:v>
                </c:pt>
                <c:pt idx="3">
                  <c:v>1.3333333333333334E-2</c:v>
                </c:pt>
                <c:pt idx="4">
                  <c:v>1.6666666666666666E-2</c:v>
                </c:pt>
                <c:pt idx="5">
                  <c:v>0.02</c:v>
                </c:pt>
                <c:pt idx="6">
                  <c:v>2.3333333333333334E-2</c:v>
                </c:pt>
                <c:pt idx="7">
                  <c:v>2.6666666666666668E-2</c:v>
                </c:pt>
                <c:pt idx="8">
                  <c:v>3.0000000000000002E-2</c:v>
                </c:pt>
                <c:pt idx="9">
                  <c:v>3.3333333333333333E-2</c:v>
                </c:pt>
                <c:pt idx="10">
                  <c:v>3.6666666666666667E-2</c:v>
                </c:pt>
                <c:pt idx="11">
                  <c:v>0.04</c:v>
                </c:pt>
                <c:pt idx="12">
                  <c:v>4.3333333333333335E-2</c:v>
                </c:pt>
                <c:pt idx="13">
                  <c:v>4.6666666666666669E-2</c:v>
                </c:pt>
                <c:pt idx="14">
                  <c:v>0.05</c:v>
                </c:pt>
                <c:pt idx="15">
                  <c:v>5.3333333333333337E-2</c:v>
                </c:pt>
                <c:pt idx="16">
                  <c:v>5.6666666666666671E-2</c:v>
                </c:pt>
                <c:pt idx="17">
                  <c:v>6.0000000000000005E-2</c:v>
                </c:pt>
                <c:pt idx="18">
                  <c:v>6.3333333333333339E-2</c:v>
                </c:pt>
                <c:pt idx="19">
                  <c:v>6.6666666666666666E-2</c:v>
                </c:pt>
                <c:pt idx="20">
                  <c:v>6.9999999999999993E-2</c:v>
                </c:pt>
                <c:pt idx="21">
                  <c:v>7.333333333333332E-2</c:v>
                </c:pt>
                <c:pt idx="22">
                  <c:v>7.6666666666666647E-2</c:v>
                </c:pt>
                <c:pt idx="23">
                  <c:v>7.9999999999999974E-2</c:v>
                </c:pt>
                <c:pt idx="24">
                  <c:v>8.3333333333333301E-2</c:v>
                </c:pt>
                <c:pt idx="25">
                  <c:v>8.6666666666666628E-2</c:v>
                </c:pt>
                <c:pt idx="26">
                  <c:v>8.9999999999999955E-2</c:v>
                </c:pt>
                <c:pt idx="27">
                  <c:v>9.3333333333333282E-2</c:v>
                </c:pt>
                <c:pt idx="28">
                  <c:v>9.6666666666666609E-2</c:v>
                </c:pt>
                <c:pt idx="29" formatCode="Основной">
                  <c:v>9.9999999999999936E-2</c:v>
                </c:pt>
              </c:numCache>
            </c:numRef>
          </c:xVal>
          <c:yVal>
            <c:numRef>
              <c:f>Лист2!$G$14:$AK$14</c:f>
              <c:numCache>
                <c:formatCode>Основной</c:formatCode>
                <c:ptCount val="31"/>
                <c:pt idx="0">
                  <c:v>278.13555086558824</c:v>
                </c:pt>
                <c:pt idx="1">
                  <c:v>256.4825835453529</c:v>
                </c:pt>
                <c:pt idx="2">
                  <c:v>235.24774836000398</c:v>
                </c:pt>
                <c:pt idx="3">
                  <c:v>214.62825134851374</c:v>
                </c:pt>
                <c:pt idx="4">
                  <c:v>194.80766338382719</c:v>
                </c:pt>
                <c:pt idx="5">
                  <c:v>175.95232477095283</c:v>
                </c:pt>
                <c:pt idx="6">
                  <c:v>158.20847780908045</c:v>
                </c:pt>
                <c:pt idx="7">
                  <c:v>141.70021083282288</c:v>
                </c:pt>
                <c:pt idx="8">
                  <c:v>126.52824461521499</c:v>
                </c:pt>
                <c:pt idx="9">
                  <c:v>112.76954009533713</c:v>
                </c:pt>
                <c:pt idx="10">
                  <c:v>100.47765931486575</c:v>
                </c:pt>
                <c:pt idx="11">
                  <c:v>89.683772708500811</c:v>
                </c:pt>
                <c:pt idx="12">
                  <c:v>80.398178063389878</c:v>
                </c:pt>
                <c:pt idx="13">
                  <c:v>72.61218099742446</c:v>
                </c:pt>
                <c:pt idx="14">
                  <c:v>66.300183979738833</c:v>
                </c:pt>
                <c:pt idx="15">
                  <c:v>61.421839875747736</c:v>
                </c:pt>
                <c:pt idx="16">
                  <c:v>57.924144921420329</c:v>
                </c:pt>
                <c:pt idx="17">
                  <c:v>55.743372364218345</c:v>
                </c:pt>
                <c:pt idx="18">
                  <c:v>54.806778755890605</c:v>
                </c:pt>
                <c:pt idx="19">
                  <c:v>55.034046914417921</c:v>
                </c:pt>
                <c:pt idx="20">
                  <c:v>56.338459918497463</c:v>
                </c:pt>
                <c:pt idx="21">
                  <c:v>58.627826606851308</c:v>
                </c:pt>
                <c:pt idx="22">
                  <c:v>61.80519899650173</c:v>
                </c:pt>
                <c:pt idx="23">
                  <c:v>65.769434632952908</c:v>
                </c:pt>
                <c:pt idx="24">
                  <c:v>70.41566177512054</c:v>
                </c:pt>
                <c:pt idx="25">
                  <c:v>75.635702923466084</c:v>
                </c:pt>
                <c:pt idx="26">
                  <c:v>81.318503646098691</c:v>
                </c:pt>
                <c:pt idx="27">
                  <c:v>87.350600620367587</c:v>
                </c:pt>
                <c:pt idx="28">
                  <c:v>93.616647319121341</c:v>
                </c:pt>
                <c:pt idx="29">
                  <c:v>100</c:v>
                </c:pt>
              </c:numCache>
            </c:numRef>
          </c:yVal>
          <c:smooth val="1"/>
        </c:ser>
        <c:axId val="17799424"/>
        <c:axId val="47202304"/>
      </c:scatterChart>
      <c:valAx>
        <c:axId val="17799424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L, [</a:t>
                </a:r>
                <a:r>
                  <a:rPr lang="ru-RU" sz="1800" b="1" i="0" baseline="0"/>
                  <a:t>М</a:t>
                </a:r>
                <a:r>
                  <a:rPr lang="en-US" sz="1800" b="1" i="0" baseline="0"/>
                  <a:t>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0.88837042869641292"/>
              <c:y val="0.72905886294158595"/>
            </c:manualLayout>
          </c:layout>
        </c:title>
        <c:numFmt formatCode="0,00" sourceLinked="1"/>
        <c:majorTickMark val="none"/>
        <c:tickLblPos val="nextTo"/>
        <c:crossAx val="47202304"/>
        <c:crosses val="autoZero"/>
        <c:crossBetween val="midCat"/>
      </c:valAx>
      <c:valAx>
        <c:axId val="4720230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1800" b="1" i="0" baseline="0"/>
                  <a:t>T, [C]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5.9532642164073689E-2"/>
              <c:y val="8.7966481155092882E-2"/>
            </c:manualLayout>
          </c:layout>
        </c:title>
        <c:numFmt formatCode="Основной" sourceLinked="1"/>
        <c:majorTickMark val="none"/>
        <c:tickLblPos val="nextTo"/>
        <c:crossAx val="17799424"/>
        <c:crosses val="autoZero"/>
        <c:crossBetween val="midCat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4520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484188</xdr:colOff>
      <xdr:row>23</xdr:row>
      <xdr:rowOff>39687</xdr:rowOff>
    </xdr:from>
    <xdr:to>
      <xdr:col>18</xdr:col>
      <xdr:colOff>769938</xdr:colOff>
      <xdr:row>39</xdr:row>
      <xdr:rowOff>142876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23</xdr:row>
      <xdr:rowOff>47623</xdr:rowOff>
    </xdr:from>
    <xdr:to>
      <xdr:col>26</xdr:col>
      <xdr:colOff>476250</xdr:colOff>
      <xdr:row>40</xdr:row>
      <xdr:rowOff>87312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226786</xdr:colOff>
      <xdr:row>22</xdr:row>
      <xdr:rowOff>45357</xdr:rowOff>
    </xdr:from>
    <xdr:to>
      <xdr:col>34</xdr:col>
      <xdr:colOff>553357</xdr:colOff>
      <xdr:row>40</xdr:row>
      <xdr:rowOff>108857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ceniy/Desktop/6%20&#1089;&#1077;&#1084;&#1077;&#1089;&#1090;&#1088;/&#1052;&#1057;&#1057;/&#1052;&#1057;&#1057;1/MCC%20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Диаграмма1"/>
      <sheetName val="Лист1"/>
      <sheetName val="Лист2"/>
      <sheetName val="Лист3"/>
    </sheetNames>
    <sheetDataSet>
      <sheetData sheetId="0" refreshError="1"/>
      <sheetData sheetId="1">
        <row r="13">
          <cell r="F13">
            <v>0</v>
          </cell>
          <cell r="G13">
            <v>3.3333333333333335E-3</v>
          </cell>
          <cell r="H13">
            <v>6.6666666666666671E-3</v>
          </cell>
          <cell r="I13">
            <v>0.01</v>
          </cell>
          <cell r="J13">
            <v>1.3333333333333334E-2</v>
          </cell>
          <cell r="K13">
            <v>1.6666666666666666E-2</v>
          </cell>
          <cell r="L13">
            <v>0.02</v>
          </cell>
          <cell r="M13">
            <v>2.3333333333333334E-2</v>
          </cell>
          <cell r="N13">
            <v>2.6666666666666668E-2</v>
          </cell>
          <cell r="O13">
            <v>3.0000000000000002E-2</v>
          </cell>
          <cell r="P13">
            <v>3.3333333333333333E-2</v>
          </cell>
          <cell r="Q13">
            <v>3.6666666666666667E-2</v>
          </cell>
          <cell r="R13">
            <v>0.04</v>
          </cell>
          <cell r="S13">
            <v>4.3333333333333335E-2</v>
          </cell>
          <cell r="T13">
            <v>4.6666666666666669E-2</v>
          </cell>
          <cell r="U13">
            <v>0.05</v>
          </cell>
          <cell r="V13">
            <v>5.3333333333333337E-2</v>
          </cell>
          <cell r="W13">
            <v>5.6666666666666671E-2</v>
          </cell>
          <cell r="X13">
            <v>6.0000000000000005E-2</v>
          </cell>
          <cell r="Y13">
            <v>6.3333333333333339E-2</v>
          </cell>
          <cell r="Z13">
            <v>6.6666666666666666E-2</v>
          </cell>
          <cell r="AA13">
            <v>6.9999999999999993E-2</v>
          </cell>
          <cell r="AB13">
            <v>7.333333333333332E-2</v>
          </cell>
          <cell r="AC13">
            <v>7.6666666666666647E-2</v>
          </cell>
          <cell r="AD13">
            <v>7.9999999999999974E-2</v>
          </cell>
          <cell r="AE13">
            <v>8.3333333333333301E-2</v>
          </cell>
          <cell r="AF13">
            <v>8.6666666666666628E-2</v>
          </cell>
          <cell r="AG13">
            <v>8.9999999999999955E-2</v>
          </cell>
          <cell r="AH13">
            <v>9.3333333333333282E-2</v>
          </cell>
          <cell r="AI13">
            <v>9.6666666666666609E-2</v>
          </cell>
          <cell r="AJ13">
            <v>9.9999999999999936E-2</v>
          </cell>
        </row>
        <row r="14">
          <cell r="E14" t="str">
            <v>T</v>
          </cell>
          <cell r="F14">
            <v>300</v>
          </cell>
          <cell r="G14">
            <v>280.3451356906275</v>
          </cell>
          <cell r="H14">
            <v>260.98550140677543</v>
          </cell>
          <cell r="I14">
            <v>241.68925448971564</v>
          </cell>
          <cell r="J14">
            <v>223.25830143373341</v>
          </cell>
          <cell r="K14">
            <v>204.94974418109416</v>
          </cell>
          <cell r="L14">
            <v>188.01783618323876</v>
          </cell>
          <cell r="M14">
            <v>171.25910700372717</v>
          </cell>
          <cell r="N14">
            <v>156.29830625258549</v>
          </cell>
          <cell r="O14">
            <v>141.55035379302507</v>
          </cell>
          <cell r="P14">
            <v>128.91021776688675</v>
          </cell>
          <cell r="Q14">
            <v>116.50979760314505</v>
          </cell>
          <cell r="R14">
            <v>106.40567709089358</v>
          </cell>
          <cell r="S14">
            <v>96.55487619169071</v>
          </cell>
          <cell r="T14">
            <v>89.068092766976434</v>
          </cell>
          <cell r="U14">
            <v>81.835567611964265</v>
          </cell>
          <cell r="V14">
            <v>76.923159498966456</v>
          </cell>
          <cell r="W14">
            <v>72.25464791067192</v>
          </cell>
          <cell r="X14">
            <v>69.765430738472972</v>
          </cell>
          <cell r="Y14">
            <v>67.50023812873907</v>
          </cell>
          <cell r="Z14">
            <v>67.193816703717232</v>
          </cell>
          <cell r="AA14">
            <v>67.083944762128951</v>
          </cell>
          <cell r="AB14">
            <v>68.649886812201174</v>
          </cell>
          <cell r="AC14">
            <v>70.379100206678658</v>
          </cell>
          <cell r="AD14">
            <v>73.454444848712399</v>
          </cell>
          <cell r="AE14">
            <v>76.655552354286499</v>
          </cell>
          <cell r="AF14">
            <v>80.839843367225896</v>
          </cell>
          <cell r="AG14">
            <v>85.109475973702843</v>
          </cell>
          <cell r="AH14">
            <v>89.977328318826025</v>
          </cell>
          <cell r="AI14">
            <v>94.888286134147862</v>
          </cell>
          <cell r="AJ14">
            <v>100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B3:BU37"/>
  <sheetViews>
    <sheetView topLeftCell="A7" zoomScale="80" zoomScaleNormal="80" workbookViewId="0">
      <selection activeCell="G24" sqref="G24"/>
    </sheetView>
  </sheetViews>
  <sheetFormatPr defaultRowHeight="14.5"/>
  <cols>
    <col min="3" max="3" width="10.6328125" bestFit="1" customWidth="1"/>
    <col min="5" max="5" width="5.90625" bestFit="1" customWidth="1"/>
    <col min="6" max="6" width="11.90625" bestFit="1" customWidth="1"/>
    <col min="7" max="23" width="12.26953125" bestFit="1" customWidth="1"/>
    <col min="24" max="24" width="12.90625" bestFit="1" customWidth="1"/>
    <col min="25" max="25" width="12.26953125" bestFit="1" customWidth="1"/>
    <col min="26" max="26" width="12.90625" bestFit="1" customWidth="1"/>
    <col min="27" max="27" width="12.26953125" bestFit="1" customWidth="1"/>
    <col min="28" max="35" width="12.90625" bestFit="1" customWidth="1"/>
    <col min="36" max="36" width="4.08984375" bestFit="1" customWidth="1"/>
  </cols>
  <sheetData>
    <row r="3" spans="2:73">
      <c r="B3" s="1" t="s">
        <v>0</v>
      </c>
      <c r="C3" s="1">
        <v>0.1</v>
      </c>
      <c r="AM3" s="1"/>
      <c r="AN3" s="1"/>
    </row>
    <row r="4" spans="2:73">
      <c r="B4" s="1" t="s">
        <v>1</v>
      </c>
      <c r="C4" s="8">
        <f>C3/30</f>
        <v>3.3333333333333335E-3</v>
      </c>
      <c r="AM4" s="1"/>
      <c r="AN4" s="1"/>
    </row>
    <row r="5" spans="2:73">
      <c r="B5" s="1" t="s">
        <v>2</v>
      </c>
      <c r="C5" s="8">
        <v>1</v>
      </c>
      <c r="AM5" s="1"/>
      <c r="AN5" s="1"/>
    </row>
    <row r="6" spans="2:73">
      <c r="B6" s="1" t="s">
        <v>3</v>
      </c>
      <c r="C6" s="1">
        <v>0.5</v>
      </c>
      <c r="D6">
        <v>1</v>
      </c>
      <c r="AM6" s="1"/>
      <c r="AN6" s="1"/>
    </row>
    <row r="7" spans="2:73">
      <c r="B7" s="1"/>
      <c r="C7" s="1"/>
      <c r="AM7" s="1"/>
      <c r="AN7" s="1"/>
    </row>
    <row r="8" spans="2:73">
      <c r="B8" s="1" t="s">
        <v>4</v>
      </c>
      <c r="C8" s="1">
        <v>460</v>
      </c>
      <c r="AM8" s="1"/>
      <c r="AN8" s="1"/>
    </row>
    <row r="9" spans="2:73">
      <c r="B9" s="1" t="s">
        <v>5</v>
      </c>
      <c r="C9" s="1">
        <v>7800</v>
      </c>
      <c r="AM9" s="1"/>
      <c r="AN9" s="1"/>
    </row>
    <row r="10" spans="2:73">
      <c r="B10" s="1" t="s">
        <v>6</v>
      </c>
      <c r="C10" s="1">
        <v>46</v>
      </c>
      <c r="AM10" s="1"/>
      <c r="AN10" s="1"/>
    </row>
    <row r="11" spans="2:73">
      <c r="B11" s="1"/>
      <c r="C11" s="1"/>
      <c r="AM11" s="1"/>
      <c r="AN11" s="1"/>
    </row>
    <row r="12" spans="2:73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  <c r="AM12" s="1"/>
      <c r="AN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</row>
    <row r="13" spans="2:73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  <c r="AM13" s="1"/>
      <c r="AN13" s="1"/>
      <c r="AQ13" s="2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2"/>
    </row>
    <row r="14" spans="2:73">
      <c r="B14" s="1" t="s">
        <v>9</v>
      </c>
      <c r="C14" s="1">
        <v>100</v>
      </c>
      <c r="E14" s="1" t="s">
        <v>7</v>
      </c>
      <c r="F14" s="1">
        <v>300</v>
      </c>
      <c r="G14" s="1">
        <v>121.94156398539596</v>
      </c>
      <c r="H14" s="1">
        <v>49.565816758135099</v>
      </c>
      <c r="I14" s="1">
        <v>20.147110721258002</v>
      </c>
      <c r="J14" s="1">
        <v>8.1892339761378388</v>
      </c>
      <c r="K14" s="1">
        <v>3.3286933436704702</v>
      </c>
      <c r="L14" s="1">
        <v>1.3530202757175105</v>
      </c>
      <c r="M14" s="1">
        <v>0.54996478005306004</v>
      </c>
      <c r="N14" s="1">
        <v>0.22354542710126168</v>
      </c>
      <c r="O14" s="1">
        <v>9.0865444303890139E-2</v>
      </c>
      <c r="P14" s="1">
        <v>3.6935513236556722E-2</v>
      </c>
      <c r="Q14" s="1">
        <v>1.5016360307572479E-2</v>
      </c>
      <c r="R14" s="1">
        <v>6.11138631181772E-3</v>
      </c>
      <c r="S14" s="1">
        <v>2.5029471196383189E-3</v>
      </c>
      <c r="T14" s="1">
        <v>1.0637287644787948E-3</v>
      </c>
      <c r="U14" s="1">
        <v>5.4640867186755992E-4</v>
      </c>
      <c r="V14" s="1">
        <v>5.0264276154154378E-4</v>
      </c>
      <c r="W14" s="1">
        <v>8.9450057788486572E-4</v>
      </c>
      <c r="X14" s="1">
        <v>2.0615922283950712E-3</v>
      </c>
      <c r="Y14" s="1">
        <v>5.0153971435143389E-3</v>
      </c>
      <c r="Z14" s="1">
        <v>1.2315879583012704E-2</v>
      </c>
      <c r="AA14" s="1">
        <v>3.0290124327788746E-2</v>
      </c>
      <c r="AB14" s="1">
        <v>7.451581015664839E-2</v>
      </c>
      <c r="AC14" s="1">
        <v>0.18332186478793669</v>
      </c>
      <c r="AD14" s="1">
        <v>0.45100686890210356</v>
      </c>
      <c r="AE14" s="1">
        <v>1.1095644927314272</v>
      </c>
      <c r="AF14" s="1">
        <v>2.7297446769279881</v>
      </c>
      <c r="AG14" s="1">
        <v>6.7157035811288068</v>
      </c>
      <c r="AH14" s="1">
        <v>16.521938922307928</v>
      </c>
      <c r="AI14" s="1">
        <v>40.647187996153924</v>
      </c>
      <c r="AJ14" s="1">
        <f>C14</f>
        <v>100</v>
      </c>
      <c r="AM14" s="1"/>
      <c r="AN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</row>
    <row r="15" spans="2:73">
      <c r="B15" s="5" t="s">
        <v>12</v>
      </c>
      <c r="C15" s="1">
        <f>C10/(C4^2)</f>
        <v>4139999.9999999991</v>
      </c>
    </row>
    <row r="16" spans="2:73">
      <c r="B16" s="5" t="s">
        <v>13</v>
      </c>
      <c r="C16" s="1">
        <f>(2*C10)/(C4^2)+(C9*C8)/C5</f>
        <v>11867999.999999998</v>
      </c>
    </row>
    <row r="17" spans="2:73">
      <c r="B17" s="5" t="s">
        <v>14</v>
      </c>
      <c r="C17" s="1">
        <f>C10/(C4^2)</f>
        <v>4139999.9999999991</v>
      </c>
      <c r="E17" s="1" t="s">
        <v>10</v>
      </c>
      <c r="F17" s="4"/>
      <c r="G17" s="6">
        <f t="shared" ref="G17:AH17" si="1">(G19*H17)+G20</f>
        <v>173.40064273857598</v>
      </c>
      <c r="H17" s="7">
        <f t="shared" si="1"/>
        <v>91.399153729908051</v>
      </c>
      <c r="I17" s="7">
        <f t="shared" si="1"/>
        <v>45.653223430109982</v>
      </c>
      <c r="J17" s="7">
        <f t="shared" si="1"/>
        <v>22.012590811316976</v>
      </c>
      <c r="K17" s="7">
        <f t="shared" si="1"/>
        <v>10.352200783012563</v>
      </c>
      <c r="L17" s="6">
        <f t="shared" si="1"/>
        <v>4.7788505354712996</v>
      </c>
      <c r="M17" s="4">
        <f t="shared" si="1"/>
        <v>2.1745531797166526</v>
      </c>
      <c r="N17" s="4">
        <f t="shared" si="1"/>
        <v>0.97823243700378493</v>
      </c>
      <c r="O17" s="7">
        <f t="shared" si="1"/>
        <v>0.43597376953977113</v>
      </c>
      <c r="P17" s="7">
        <f t="shared" si="1"/>
        <v>0.19280898394685431</v>
      </c>
      <c r="Q17" s="7">
        <f t="shared" si="1"/>
        <v>8.4734539636195455E-2</v>
      </c>
      <c r="R17" s="7">
        <f t="shared" si="1"/>
        <v>3.7082517410343192E-2</v>
      </c>
      <c r="S17" s="7">
        <f t="shared" si="1"/>
        <v>1.6272142136546347E-2</v>
      </c>
      <c r="T17" s="7">
        <f t="shared" si="1"/>
        <v>7.3950692107364688E-3</v>
      </c>
      <c r="U17" s="7">
        <f t="shared" si="1"/>
        <v>4.0051580050165739E-3</v>
      </c>
      <c r="V17" s="7">
        <f t="shared" si="1"/>
        <v>3.6128295546924917E-3</v>
      </c>
      <c r="W17" s="7">
        <f t="shared" si="1"/>
        <v>5.9159963250992329E-3</v>
      </c>
      <c r="X17" s="7">
        <f t="shared" si="1"/>
        <v>1.2571126076425092E-2</v>
      </c>
      <c r="Y17" s="7">
        <f t="shared" si="1"/>
        <v>2.8334518496043643E-2</v>
      </c>
      <c r="Z17" s="7">
        <f t="shared" si="1"/>
        <v>6.4307816087854269E-2</v>
      </c>
      <c r="AA17" s="7">
        <f t="shared" si="1"/>
        <v>0.14534079198386091</v>
      </c>
      <c r="AB17" s="7">
        <f t="shared" si="1"/>
        <v>0.32608434651513019</v>
      </c>
      <c r="AC17" s="7">
        <f t="shared" si="1"/>
        <v>0.72485396589041717</v>
      </c>
      <c r="AD17" s="7">
        <f t="shared" si="1"/>
        <v>1.5929514062211876</v>
      </c>
      <c r="AE17" s="7">
        <f t="shared" si="1"/>
        <v>3.4507341122284987</v>
      </c>
      <c r="AF17" s="7">
        <f t="shared" si="1"/>
        <v>7.3375304884666068</v>
      </c>
      <c r="AG17" s="7">
        <f t="shared" si="1"/>
        <v>15.217741234704853</v>
      </c>
      <c r="AH17" s="7">
        <f t="shared" si="1"/>
        <v>30.466384614042344</v>
      </c>
      <c r="AI17" s="7">
        <f>(AI19*AJ17)+AI20</f>
        <v>57.800214259549676</v>
      </c>
      <c r="AJ17" s="1">
        <v>100</v>
      </c>
      <c r="AP17" s="1"/>
      <c r="AQ17" s="1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1"/>
    </row>
    <row r="18" spans="2:73">
      <c r="E18" s="5" t="s">
        <v>15</v>
      </c>
      <c r="F18" s="1">
        <f t="shared" ref="F18:AI18" si="2">-(($C$9*$C$8)/$C$5)*F14</f>
        <v>-1076400000</v>
      </c>
      <c r="G18" s="1">
        <f t="shared" si="2"/>
        <v>-437526331.57960069</v>
      </c>
      <c r="H18" s="1">
        <f t="shared" si="2"/>
        <v>-177842150.52818874</v>
      </c>
      <c r="I18" s="1">
        <f t="shared" si="2"/>
        <v>-72287833.267873719</v>
      </c>
      <c r="J18" s="1">
        <f t="shared" si="2"/>
        <v>-29382971.506382566</v>
      </c>
      <c r="K18" s="1">
        <f t="shared" si="2"/>
        <v>-11943351.717089647</v>
      </c>
      <c r="L18" s="1">
        <f t="shared" si="2"/>
        <v>-4854636.749274428</v>
      </c>
      <c r="M18" s="1">
        <f t="shared" si="2"/>
        <v>-1973273.6308303794</v>
      </c>
      <c r="N18" s="1">
        <f t="shared" si="2"/>
        <v>-802080.99243932695</v>
      </c>
      <c r="O18" s="1">
        <f t="shared" si="2"/>
        <v>-326025.21416235779</v>
      </c>
      <c r="P18" s="1">
        <f t="shared" si="2"/>
        <v>-132524.62149276552</v>
      </c>
      <c r="Q18" s="1">
        <f t="shared" si="2"/>
        <v>-53878.700783570057</v>
      </c>
      <c r="R18" s="1">
        <f t="shared" si="2"/>
        <v>-21927.65408680198</v>
      </c>
      <c r="S18" s="1">
        <f t="shared" si="2"/>
        <v>-8980.5742652622885</v>
      </c>
      <c r="T18" s="1">
        <f t="shared" si="2"/>
        <v>-3816.6588069499157</v>
      </c>
      <c r="U18" s="1">
        <f t="shared" si="2"/>
        <v>-1960.514314660805</v>
      </c>
      <c r="V18" s="1">
        <f t="shared" si="2"/>
        <v>-1803.4822284110592</v>
      </c>
      <c r="W18" s="1">
        <f t="shared" si="2"/>
        <v>-3209.4680734508984</v>
      </c>
      <c r="X18" s="1">
        <f t="shared" si="2"/>
        <v>-7396.9929154815154</v>
      </c>
      <c r="Y18" s="1">
        <f t="shared" si="2"/>
        <v>-17995.244950929449</v>
      </c>
      <c r="Z18" s="1">
        <f t="shared" si="2"/>
        <v>-44189.375943849584</v>
      </c>
      <c r="AA18" s="1">
        <f t="shared" si="2"/>
        <v>-108680.96608810603</v>
      </c>
      <c r="AB18" s="1">
        <f t="shared" si="2"/>
        <v>-267362.7268420544</v>
      </c>
      <c r="AC18" s="1">
        <f t="shared" si="2"/>
        <v>-657758.85085911688</v>
      </c>
      <c r="AD18" s="1">
        <f t="shared" si="2"/>
        <v>-1618212.6456207477</v>
      </c>
      <c r="AE18" s="1">
        <f t="shared" si="2"/>
        <v>-3981117.3999203607</v>
      </c>
      <c r="AF18" s="1">
        <f t="shared" si="2"/>
        <v>-9794323.9008176215</v>
      </c>
      <c r="AG18" s="1">
        <f t="shared" si="2"/>
        <v>-24095944.44909016</v>
      </c>
      <c r="AH18" s="1">
        <f t="shared" si="2"/>
        <v>-59280716.853240848</v>
      </c>
      <c r="AI18" s="1">
        <f t="shared" si="2"/>
        <v>-145842110.53020027</v>
      </c>
      <c r="AJ18" s="1"/>
    </row>
    <row r="19" spans="2:73">
      <c r="E19" s="5" t="s">
        <v>11</v>
      </c>
      <c r="F19" s="1">
        <v>0</v>
      </c>
      <c r="G19" s="8">
        <f>$C$15/($C$16-$C$17*F19)</f>
        <v>0.34883720930232553</v>
      </c>
      <c r="H19" s="8">
        <f t="shared" ref="H19:AI19" si="3">$C$15/($C$16-$C$17*G19)</f>
        <v>0.39716748768472904</v>
      </c>
      <c r="I19" s="8">
        <f t="shared" si="3"/>
        <v>0.40494040593779607</v>
      </c>
      <c r="J19" s="8">
        <f t="shared" si="3"/>
        <v>0.4062190081621499</v>
      </c>
      <c r="K19" s="8">
        <f t="shared" si="3"/>
        <v>0.40643010492156101</v>
      </c>
      <c r="L19" s="8">
        <f t="shared" si="3"/>
        <v>0.40646497802255066</v>
      </c>
      <c r="M19" s="8">
        <f t="shared" si="3"/>
        <v>0.40647073962099717</v>
      </c>
      <c r="N19" s="8">
        <f t="shared" si="3"/>
        <v>0.40647169154566137</v>
      </c>
      <c r="O19" s="8">
        <f t="shared" si="3"/>
        <v>0.40647184882198806</v>
      </c>
      <c r="P19" s="8">
        <f t="shared" si="3"/>
        <v>0.40647187480708435</v>
      </c>
      <c r="Q19" s="8">
        <f t="shared" si="3"/>
        <v>0.40647187910032606</v>
      </c>
      <c r="R19" s="8">
        <f t="shared" si="3"/>
        <v>0.40647187980965277</v>
      </c>
      <c r="S19" s="8">
        <f t="shared" si="3"/>
        <v>0.4064718799268473</v>
      </c>
      <c r="T19" s="8">
        <f t="shared" si="3"/>
        <v>0.40647187994621015</v>
      </c>
      <c r="U19" s="8">
        <f t="shared" si="3"/>
        <v>0.40647187994940925</v>
      </c>
      <c r="V19" s="8">
        <f t="shared" si="3"/>
        <v>0.40647187994993778</v>
      </c>
      <c r="W19" s="8">
        <f t="shared" si="3"/>
        <v>0.40647187995002515</v>
      </c>
      <c r="X19" s="8">
        <f t="shared" si="3"/>
        <v>0.40647187995003953</v>
      </c>
      <c r="Y19" s="8">
        <f t="shared" si="3"/>
        <v>0.40647187995004191</v>
      </c>
      <c r="Z19" s="8">
        <f t="shared" si="3"/>
        <v>0.40647187995004236</v>
      </c>
      <c r="AA19" s="8">
        <f t="shared" si="3"/>
        <v>0.40647187995004236</v>
      </c>
      <c r="AB19" s="8">
        <f t="shared" si="3"/>
        <v>0.40647187995004236</v>
      </c>
      <c r="AC19" s="8">
        <f t="shared" si="3"/>
        <v>0.40647187995004236</v>
      </c>
      <c r="AD19" s="8">
        <f t="shared" si="3"/>
        <v>0.40647187995004236</v>
      </c>
      <c r="AE19" s="8">
        <f t="shared" si="3"/>
        <v>0.40647187995004236</v>
      </c>
      <c r="AF19" s="8">
        <f t="shared" si="3"/>
        <v>0.40647187995004236</v>
      </c>
      <c r="AG19" s="8">
        <f t="shared" si="3"/>
        <v>0.40647187995004236</v>
      </c>
      <c r="AH19" s="8">
        <f t="shared" si="3"/>
        <v>0.40647187995004236</v>
      </c>
      <c r="AI19" s="8">
        <f t="shared" si="3"/>
        <v>0.40647187995004236</v>
      </c>
      <c r="AJ19" s="1"/>
    </row>
    <row r="20" spans="2:73">
      <c r="E20" s="5" t="s">
        <v>16</v>
      </c>
      <c r="F20" s="1">
        <v>300</v>
      </c>
      <c r="G20" s="1">
        <f>(F20*$C$17-G18)/($C$16-$C$17*F19)</f>
        <v>141.51721701884063</v>
      </c>
      <c r="H20" s="1">
        <f t="shared" ref="H20:AI20" si="4">(G20*$C$17-H18)/($C$16-$C$17*G19)</f>
        <v>73.267177675461653</v>
      </c>
      <c r="I20" s="8">
        <f t="shared" si="4"/>
        <v>36.739435971232687</v>
      </c>
      <c r="J20" s="8">
        <f t="shared" si="4"/>
        <v>17.80733007694618</v>
      </c>
      <c r="K20" s="8">
        <f t="shared" si="4"/>
        <v>8.4099320584765049</v>
      </c>
      <c r="L20" s="8">
        <f t="shared" si="4"/>
        <v>3.8949708250689028</v>
      </c>
      <c r="M20" s="8">
        <f t="shared" si="4"/>
        <v>1.7769303175264735</v>
      </c>
      <c r="N20" s="8">
        <f t="shared" si="4"/>
        <v>0.80102144142941578</v>
      </c>
      <c r="O20" s="8">
        <f t="shared" si="4"/>
        <v>0.35760234536540425</v>
      </c>
      <c r="P20" s="8">
        <f t="shared" si="4"/>
        <v>0.15836677676001473</v>
      </c>
      <c r="Q20" s="8">
        <f t="shared" si="4"/>
        <v>6.9661539102642708E-2</v>
      </c>
      <c r="R20" s="8">
        <f t="shared" si="4"/>
        <v>3.0468349207571341E-2</v>
      </c>
      <c r="S20" s="8">
        <f t="shared" si="4"/>
        <v>1.3266254452269149E-2</v>
      </c>
      <c r="T20" s="8">
        <f t="shared" si="4"/>
        <v>5.7670851069557697E-3</v>
      </c>
      <c r="U20" s="8">
        <f t="shared" si="4"/>
        <v>2.5366443839839299E-3</v>
      </c>
      <c r="V20" s="8">
        <f t="shared" si="4"/>
        <v>1.2081434066524835E-3</v>
      </c>
      <c r="W20" s="8">
        <f t="shared" si="4"/>
        <v>8.061870757259421E-4</v>
      </c>
      <c r="X20" s="8">
        <f t="shared" si="4"/>
        <v>1.0539410758590665E-3</v>
      </c>
      <c r="Y20" s="8">
        <f t="shared" si="4"/>
        <v>2.1951995953319692E-3</v>
      </c>
      <c r="Z20" s="8">
        <f t="shared" si="4"/>
        <v>5.2308711367462747E-3</v>
      </c>
      <c r="AA20" s="8">
        <f t="shared" si="4"/>
        <v>1.2796674633574909E-2</v>
      </c>
      <c r="AB20" s="8">
        <f t="shared" si="4"/>
        <v>3.1451592310408436E-2</v>
      </c>
      <c r="AC20" s="8">
        <f t="shared" si="4"/>
        <v>7.7364013134627457E-2</v>
      </c>
      <c r="AD20" s="8">
        <f t="shared" si="4"/>
        <v>0.19032502441592947</v>
      </c>
      <c r="AE20" s="8">
        <f t="shared" si="4"/>
        <v>0.4682343003907245</v>
      </c>
      <c r="AF20" s="8">
        <f t="shared" si="4"/>
        <v>1.151946600202846</v>
      </c>
      <c r="AG20" s="8">
        <f t="shared" si="4"/>
        <v>2.8340126053540149</v>
      </c>
      <c r="AH20" s="8">
        <f t="shared" si="4"/>
        <v>6.9722228624479419</v>
      </c>
      <c r="AI20" s="8">
        <f t="shared" si="4"/>
        <v>17.153026264545435</v>
      </c>
      <c r="AJ20" s="1"/>
    </row>
    <row r="21" spans="2:73">
      <c r="B21">
        <f>(C9*C8*C4^2)/(2*C10)</f>
        <v>0.4333333333333334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37" spans="3:3">
      <c r="C37">
        <f>(C9*C8*(C4^2))/(2*C10)</f>
        <v>0.4333333333333334</v>
      </c>
    </row>
  </sheetData>
  <conditionalFormatting sqref="E14:AJ14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AP14:BU14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AP14:BU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B3:AJ36"/>
  <sheetViews>
    <sheetView tabSelected="1" topLeftCell="K10" zoomScale="70" zoomScaleNormal="70" workbookViewId="0">
      <selection activeCell="T33" sqref="T33"/>
    </sheetView>
  </sheetViews>
  <sheetFormatPr defaultRowHeight="14.5"/>
  <cols>
    <col min="7" max="7" width="9.63281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8">
        <f>C3/30</f>
        <v>3.3333333333333335E-3</v>
      </c>
    </row>
    <row r="5" spans="2:36">
      <c r="B5" s="1" t="s">
        <v>2</v>
      </c>
      <c r="C5" s="8">
        <v>1</v>
      </c>
    </row>
    <row r="6" spans="2:36">
      <c r="B6" s="1" t="s">
        <v>3</v>
      </c>
      <c r="C6" s="1">
        <v>50</v>
      </c>
      <c r="D6">
        <v>51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 t="s">
        <v>17</v>
      </c>
      <c r="C12" s="1">
        <v>92000</v>
      </c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>
      <c r="B14" s="1" t="s">
        <v>9</v>
      </c>
      <c r="C14" s="1">
        <v>100</v>
      </c>
      <c r="E14" s="1" t="s">
        <v>7</v>
      </c>
      <c r="F14" s="1">
        <f>(F21/C10)*C4+G14</f>
        <v>284.80221753225493</v>
      </c>
      <c r="G14" s="1">
        <v>278.13555086558824</v>
      </c>
      <c r="H14" s="1">
        <v>256.4825835453529</v>
      </c>
      <c r="I14" s="1">
        <v>235.24774836000398</v>
      </c>
      <c r="J14" s="1">
        <v>214.62825134851374</v>
      </c>
      <c r="K14" s="1">
        <v>194.80766338382719</v>
      </c>
      <c r="L14" s="1">
        <v>175.95232477095283</v>
      </c>
      <c r="M14" s="1">
        <v>158.20847780908045</v>
      </c>
      <c r="N14" s="1">
        <v>141.70021083282288</v>
      </c>
      <c r="O14" s="1">
        <v>126.52824461521499</v>
      </c>
      <c r="P14" s="1">
        <v>112.76954009533713</v>
      </c>
      <c r="Q14" s="1">
        <v>100.47765931486575</v>
      </c>
      <c r="R14" s="1">
        <v>89.683772708500811</v>
      </c>
      <c r="S14" s="1">
        <v>80.398178063389878</v>
      </c>
      <c r="T14" s="1">
        <v>72.61218099742446</v>
      </c>
      <c r="U14" s="1">
        <v>66.300183979738833</v>
      </c>
      <c r="V14" s="1">
        <v>61.421839875747736</v>
      </c>
      <c r="W14" s="1">
        <v>57.924144921420329</v>
      </c>
      <c r="X14" s="1">
        <v>55.743372364218345</v>
      </c>
      <c r="Y14" s="1">
        <v>54.806778755890605</v>
      </c>
      <c r="Z14" s="1">
        <v>55.034046914417921</v>
      </c>
      <c r="AA14" s="1">
        <v>56.338459918497463</v>
      </c>
      <c r="AB14" s="1">
        <v>58.627826606851308</v>
      </c>
      <c r="AC14" s="1">
        <v>61.80519899650173</v>
      </c>
      <c r="AD14" s="1">
        <v>65.769434632952908</v>
      </c>
      <c r="AE14" s="1">
        <v>70.41566177512054</v>
      </c>
      <c r="AF14" s="1">
        <v>75.635702923466084</v>
      </c>
      <c r="AG14" s="1">
        <v>81.318503646098691</v>
      </c>
      <c r="AH14" s="1">
        <v>87.350600620367587</v>
      </c>
      <c r="AI14" s="1">
        <v>93.616647319121341</v>
      </c>
      <c r="AJ14" s="1">
        <f>C14</f>
        <v>100</v>
      </c>
    </row>
    <row r="15" spans="2:36">
      <c r="B15" s="5" t="s">
        <v>12</v>
      </c>
      <c r="C15" s="1">
        <f>C10/(C4^2)</f>
        <v>4139999.9999999991</v>
      </c>
    </row>
    <row r="16" spans="2:36">
      <c r="B16" s="5" t="s">
        <v>13</v>
      </c>
      <c r="C16" s="1">
        <f>(2*C10)/(C4^2)+(C9*C8)/C5</f>
        <v>11867999.999999998</v>
      </c>
    </row>
    <row r="17" spans="2:36">
      <c r="B17" s="5" t="s">
        <v>14</v>
      </c>
      <c r="C17" s="1">
        <f>C10/(C4^2)</f>
        <v>4139999.9999999991</v>
      </c>
      <c r="E17" s="1" t="s">
        <v>10</v>
      </c>
      <c r="F17" s="4"/>
      <c r="G17" s="6">
        <f t="shared" ref="G17:AH17" si="1">(G19*H17)+G20</f>
        <v>278.37344691100577</v>
      </c>
      <c r="H17" s="7">
        <f t="shared" si="1"/>
        <v>256.95307039470669</v>
      </c>
      <c r="I17" s="7">
        <f t="shared" si="1"/>
        <v>235.94044914784749</v>
      </c>
      <c r="J17" s="7">
        <f t="shared" si="1"/>
        <v>215.52816858378594</v>
      </c>
      <c r="K17" s="7">
        <f t="shared" si="1"/>
        <v>195.89581629029371</v>
      </c>
      <c r="L17" s="6">
        <f t="shared" si="1"/>
        <v>177.20652984907252</v>
      </c>
      <c r="M17" s="4">
        <f t="shared" si="1"/>
        <v>159.60422114222177</v>
      </c>
      <c r="N17" s="4">
        <f t="shared" si="1"/>
        <v>143.21155665742677</v>
      </c>
      <c r="O17" s="7">
        <f t="shared" si="1"/>
        <v>128.12872522062185</v>
      </c>
      <c r="P17" s="7">
        <f t="shared" si="1"/>
        <v>114.43297697516951</v>
      </c>
      <c r="Q17" s="7">
        <f t="shared" si="1"/>
        <v>102.17887402557193</v>
      </c>
      <c r="R17" s="7">
        <f t="shared" si="1"/>
        <v>91.399157158586334</v>
      </c>
      <c r="S17" s="7">
        <f t="shared" si="1"/>
        <v>82.106106815008218</v>
      </c>
      <c r="T17" s="7">
        <f t="shared" si="1"/>
        <v>74.293261389499321</v>
      </c>
      <c r="U17" s="7">
        <f t="shared" si="1"/>
        <v>67.937352303788629</v>
      </c>
      <c r="V17" s="7">
        <f t="shared" si="1"/>
        <v>63.000322432254436</v>
      </c>
      <c r="W17" s="7">
        <f t="shared" si="1"/>
        <v>59.431310776359396</v>
      </c>
      <c r="X17" s="7">
        <f t="shared" si="1"/>
        <v>57.168509528078232</v>
      </c>
      <c r="Y17" s="7">
        <f t="shared" si="1"/>
        <v>56.140827155142304</v>
      </c>
      <c r="Z17" s="7">
        <f t="shared" si="1"/>
        <v>56.269320061557877</v>
      </c>
      <c r="AA17" s="7">
        <f t="shared" si="1"/>
        <v>57.468383028828065</v>
      </c>
      <c r="AB17" s="7">
        <f t="shared" si="1"/>
        <v>59.646712691718122</v>
      </c>
      <c r="AC17" s="7">
        <f t="shared" si="1"/>
        <v>62.708076961492772</v>
      </c>
      <c r="AD17" s="7">
        <f t="shared" si="1"/>
        <v>66.551935467592997</v>
      </c>
      <c r="AE17" s="7">
        <f t="shared" si="1"/>
        <v>71.073961363714659</v>
      </c>
      <c r="AF17" s="7">
        <f t="shared" si="1"/>
        <v>76.166513569951235</v>
      </c>
      <c r="AG17" s="7">
        <f t="shared" si="1"/>
        <v>81.71910166980831</v>
      </c>
      <c r="AH17" s="7">
        <f t="shared" si="1"/>
        <v>87.618874723547094</v>
      </c>
      <c r="AI17" s="7">
        <f>(AI19*AJ17)+AI20</f>
        <v>93.751152000041472</v>
      </c>
      <c r="AJ17" s="1">
        <v>100</v>
      </c>
    </row>
    <row r="18" spans="2:36">
      <c r="E18" s="5" t="s">
        <v>15</v>
      </c>
      <c r="F18" s="1">
        <f t="shared" ref="F18:AI18" si="2">-(($C$9*$C$8)/$C$5)*F14</f>
        <v>-1021870356.5057306</v>
      </c>
      <c r="G18" s="1">
        <f t="shared" si="2"/>
        <v>-997950356.50573063</v>
      </c>
      <c r="H18" s="1">
        <f t="shared" si="2"/>
        <v>-920259509.76072621</v>
      </c>
      <c r="I18" s="1">
        <f t="shared" si="2"/>
        <v>-844068921.11569428</v>
      </c>
      <c r="J18" s="1">
        <f t="shared" si="2"/>
        <v>-770086165.83846736</v>
      </c>
      <c r="K18" s="1">
        <f t="shared" si="2"/>
        <v>-698969896.22117198</v>
      </c>
      <c r="L18" s="1">
        <f t="shared" si="2"/>
        <v>-631316941.27817869</v>
      </c>
      <c r="M18" s="1">
        <f t="shared" si="2"/>
        <v>-567652018.37898064</v>
      </c>
      <c r="N18" s="1">
        <f t="shared" si="2"/>
        <v>-508420356.4681685</v>
      </c>
      <c r="O18" s="1">
        <f t="shared" si="2"/>
        <v>-453983341.67939138</v>
      </c>
      <c r="P18" s="1">
        <f t="shared" si="2"/>
        <v>-404617109.86206967</v>
      </c>
      <c r="Q18" s="1">
        <f t="shared" si="2"/>
        <v>-360513841.62173831</v>
      </c>
      <c r="R18" s="1">
        <f t="shared" si="2"/>
        <v>-321785376.4781009</v>
      </c>
      <c r="S18" s="1">
        <f t="shared" si="2"/>
        <v>-288468662.89144289</v>
      </c>
      <c r="T18" s="1">
        <f t="shared" si="2"/>
        <v>-260532505.41875896</v>
      </c>
      <c r="U18" s="1">
        <f t="shared" si="2"/>
        <v>-237885060.11930293</v>
      </c>
      <c r="V18" s="1">
        <f t="shared" si="2"/>
        <v>-220381561.47418287</v>
      </c>
      <c r="W18" s="1">
        <f t="shared" si="2"/>
        <v>-207831831.97805613</v>
      </c>
      <c r="X18" s="1">
        <f t="shared" si="2"/>
        <v>-200007220.04281542</v>
      </c>
      <c r="Y18" s="1">
        <f t="shared" si="2"/>
        <v>-196646722.17613548</v>
      </c>
      <c r="Z18" s="1">
        <f t="shared" si="2"/>
        <v>-197462160.32893151</v>
      </c>
      <c r="AA18" s="1">
        <f t="shared" si="2"/>
        <v>-202142394.1875689</v>
      </c>
      <c r="AB18" s="1">
        <f t="shared" si="2"/>
        <v>-210356641.86538249</v>
      </c>
      <c r="AC18" s="1">
        <f t="shared" si="2"/>
        <v>-221757053.99944821</v>
      </c>
      <c r="AD18" s="1">
        <f t="shared" si="2"/>
        <v>-235980731.46303505</v>
      </c>
      <c r="AE18" s="1">
        <f t="shared" si="2"/>
        <v>-252651394.4491325</v>
      </c>
      <c r="AF18" s="1">
        <f t="shared" si="2"/>
        <v>-271380902.0893963</v>
      </c>
      <c r="AG18" s="1">
        <f t="shared" si="2"/>
        <v>-291770791.08220208</v>
      </c>
      <c r="AH18" s="1">
        <f t="shared" si="2"/>
        <v>-313413955.02587891</v>
      </c>
      <c r="AI18" s="1">
        <f t="shared" si="2"/>
        <v>-335896530.58100736</v>
      </c>
      <c r="AJ18" s="1"/>
    </row>
    <row r="19" spans="2:36">
      <c r="E19" s="5" t="s">
        <v>11</v>
      </c>
      <c r="F19" s="1">
        <v>0</v>
      </c>
      <c r="G19" s="8">
        <f>$C$15/($C$16-$C$17*F19)</f>
        <v>0.34883720930232553</v>
      </c>
      <c r="H19" s="8">
        <f t="shared" ref="H19:AI19" si="3">$C$15/($C$16-$C$17*G19)</f>
        <v>0.39716748768472904</v>
      </c>
      <c r="I19" s="8">
        <f t="shared" si="3"/>
        <v>0.40494040593779607</v>
      </c>
      <c r="J19" s="8">
        <f t="shared" si="3"/>
        <v>0.4062190081621499</v>
      </c>
      <c r="K19" s="8">
        <f t="shared" si="3"/>
        <v>0.40643010492156101</v>
      </c>
      <c r="L19" s="8">
        <f t="shared" si="3"/>
        <v>0.40646497802255066</v>
      </c>
      <c r="M19" s="8">
        <f t="shared" si="3"/>
        <v>0.40647073962099717</v>
      </c>
      <c r="N19" s="8">
        <f t="shared" si="3"/>
        <v>0.40647169154566137</v>
      </c>
      <c r="O19" s="8">
        <f t="shared" si="3"/>
        <v>0.40647184882198806</v>
      </c>
      <c r="P19" s="8">
        <f t="shared" si="3"/>
        <v>0.40647187480708435</v>
      </c>
      <c r="Q19" s="8">
        <f t="shared" si="3"/>
        <v>0.40647187910032606</v>
      </c>
      <c r="R19" s="8">
        <f t="shared" si="3"/>
        <v>0.40647187980965277</v>
      </c>
      <c r="S19" s="8">
        <f t="shared" si="3"/>
        <v>0.4064718799268473</v>
      </c>
      <c r="T19" s="8">
        <f t="shared" si="3"/>
        <v>0.40647187994621015</v>
      </c>
      <c r="U19" s="8">
        <f t="shared" si="3"/>
        <v>0.40647187994940925</v>
      </c>
      <c r="V19" s="8">
        <f t="shared" si="3"/>
        <v>0.40647187994993778</v>
      </c>
      <c r="W19" s="8">
        <f t="shared" si="3"/>
        <v>0.40647187995002515</v>
      </c>
      <c r="X19" s="8">
        <f t="shared" si="3"/>
        <v>0.40647187995003953</v>
      </c>
      <c r="Y19" s="8">
        <f t="shared" si="3"/>
        <v>0.40647187995004191</v>
      </c>
      <c r="Z19" s="8">
        <f t="shared" si="3"/>
        <v>0.40647187995004236</v>
      </c>
      <c r="AA19" s="8">
        <f t="shared" si="3"/>
        <v>0.40647187995004236</v>
      </c>
      <c r="AB19" s="8">
        <f t="shared" si="3"/>
        <v>0.40647187995004236</v>
      </c>
      <c r="AC19" s="8">
        <f t="shared" si="3"/>
        <v>0.40647187995004236</v>
      </c>
      <c r="AD19" s="8">
        <f t="shared" si="3"/>
        <v>0.40647187995004236</v>
      </c>
      <c r="AE19" s="8">
        <f t="shared" si="3"/>
        <v>0.40647187995004236</v>
      </c>
      <c r="AF19" s="8">
        <f t="shared" si="3"/>
        <v>0.40647187995004236</v>
      </c>
      <c r="AG19" s="8">
        <f t="shared" si="3"/>
        <v>0.40647187995004236</v>
      </c>
      <c r="AH19" s="8">
        <f t="shared" si="3"/>
        <v>0.40647187995004236</v>
      </c>
      <c r="AI19" s="8">
        <f t="shared" si="3"/>
        <v>0.40647187995004236</v>
      </c>
      <c r="AJ19" s="1"/>
    </row>
    <row r="20" spans="2:36">
      <c r="E20" s="5" t="s">
        <v>16</v>
      </c>
      <c r="F20" s="1">
        <v>300</v>
      </c>
      <c r="G20" s="1">
        <f>(F20*$C$17-G18)/($C$16-$C$17*F19)</f>
        <v>188.7386549128523</v>
      </c>
      <c r="H20" s="1">
        <f t="shared" ref="H20:AI20" si="4">(G20*$C$17-H18)/($C$16-$C$17*G19)</f>
        <v>163.24519496344953</v>
      </c>
      <c r="I20" s="8">
        <f t="shared" si="4"/>
        <v>148.66438507049946</v>
      </c>
      <c r="J20" s="8">
        <f t="shared" si="4"/>
        <v>135.9515643872281</v>
      </c>
      <c r="K20" s="8">
        <f t="shared" si="4"/>
        <v>123.87374777094944</v>
      </c>
      <c r="L20" s="8">
        <f t="shared" si="4"/>
        <v>112.33300361019305</v>
      </c>
      <c r="M20" s="8">
        <f t="shared" si="4"/>
        <v>101.39291378540317</v>
      </c>
      <c r="N20" s="8">
        <f t="shared" si="4"/>
        <v>91.130856981411355</v>
      </c>
      <c r="O20" s="8">
        <f t="shared" si="4"/>
        <v>81.614941503320694</v>
      </c>
      <c r="P20" s="8">
        <f t="shared" si="4"/>
        <v>72.90013848431839</v>
      </c>
      <c r="Q20" s="8">
        <f t="shared" si="4"/>
        <v>65.027686867135316</v>
      </c>
      <c r="R20" s="8">
        <f t="shared" si="4"/>
        <v>58.025333577637802</v>
      </c>
      <c r="S20" s="8">
        <f t="shared" si="4"/>
        <v>51.907985192121764</v>
      </c>
      <c r="T20" s="8">
        <f t="shared" si="4"/>
        <v>46.678638080010359</v>
      </c>
      <c r="U20" s="8">
        <f t="shared" si="4"/>
        <v>42.329492807331228</v>
      </c>
      <c r="V20" s="8">
        <f t="shared" si="4"/>
        <v>38.843165813098636</v>
      </c>
      <c r="W20" s="8">
        <f t="shared" si="4"/>
        <v>36.193919234540516</v>
      </c>
      <c r="X20" s="8">
        <f t="shared" si="4"/>
        <v>34.348841972377308</v>
      </c>
      <c r="Y20" s="8">
        <f t="shared" si="4"/>
        <v>33.268930846210267</v>
      </c>
      <c r="Z20" s="8">
        <f t="shared" si="4"/>
        <v>32.910038374141024</v>
      </c>
      <c r="AA20" s="8">
        <f t="shared" si="4"/>
        <v>33.223671588185347</v>
      </c>
      <c r="AB20" s="8">
        <f t="shared" si="4"/>
        <v>34.157642761128216</v>
      </c>
      <c r="AC20" s="8">
        <f t="shared" si="4"/>
        <v>35.656586637666344</v>
      </c>
      <c r="AD20" s="8">
        <f t="shared" si="4"/>
        <v>37.662368776587222</v>
      </c>
      <c r="AE20" s="8">
        <f t="shared" si="4"/>
        <v>40.114415403696164</v>
      </c>
      <c r="AF20" s="8">
        <f t="shared" si="4"/>
        <v>42.949996686395608</v>
      </c>
      <c r="AG20" s="8">
        <f t="shared" si="4"/>
        <v>46.10449294182088</v>
      </c>
      <c r="AH20" s="8">
        <f t="shared" si="4"/>
        <v>49.51166772260806</v>
      </c>
      <c r="AI20" s="8">
        <f t="shared" si="4"/>
        <v>53.103964005037234</v>
      </c>
      <c r="AJ20" s="1"/>
    </row>
    <row r="21" spans="2:36">
      <c r="B21">
        <f>(C9*C8*C4^2)/(2*C10)</f>
        <v>0.4333333333333334</v>
      </c>
      <c r="E21" s="1" t="s">
        <v>17</v>
      </c>
      <c r="F21" s="1">
        <f>C12</f>
        <v>92000</v>
      </c>
      <c r="G21" s="1">
        <f>-$C$10*((G14-F14))/$C$4</f>
        <v>92000.000000000262</v>
      </c>
      <c r="H21" s="1">
        <f t="shared" ref="H21:AI21" si="5">-$C$10*((H14-G14))/$C$4</f>
        <v>298810.94901924778</v>
      </c>
      <c r="I21" s="1">
        <f t="shared" si="5"/>
        <v>293040.72555781499</v>
      </c>
      <c r="J21" s="1">
        <f t="shared" si="5"/>
        <v>284549.05875856528</v>
      </c>
      <c r="K21" s="1">
        <f t="shared" si="5"/>
        <v>273524.11391267442</v>
      </c>
      <c r="L21" s="1">
        <f t="shared" si="5"/>
        <v>260203.67285766621</v>
      </c>
      <c r="M21" s="1">
        <f t="shared" si="5"/>
        <v>244865.08807383882</v>
      </c>
      <c r="N21" s="1">
        <f t="shared" si="5"/>
        <v>227814.08427235449</v>
      </c>
      <c r="O21" s="1">
        <f t="shared" si="5"/>
        <v>209373.13380298886</v>
      </c>
      <c r="P21" s="1">
        <f t="shared" si="5"/>
        <v>189870.12237431438</v>
      </c>
      <c r="Q21" s="1">
        <f t="shared" si="5"/>
        <v>169627.95477050514</v>
      </c>
      <c r="R21" s="1">
        <f t="shared" si="5"/>
        <v>148955.6351678361</v>
      </c>
      <c r="S21" s="1">
        <f t="shared" si="5"/>
        <v>128141.20610253086</v>
      </c>
      <c r="T21" s="1">
        <f t="shared" si="5"/>
        <v>107446.75951032275</v>
      </c>
      <c r="U21" s="1">
        <f t="shared" si="5"/>
        <v>87105.558844061641</v>
      </c>
      <c r="V21" s="1">
        <f t="shared" si="5"/>
        <v>67321.14863507713</v>
      </c>
      <c r="W21" s="1">
        <f t="shared" si="5"/>
        <v>48268.190369718213</v>
      </c>
      <c r="X21" s="1">
        <f t="shared" si="5"/>
        <v>30094.661289387368</v>
      </c>
      <c r="Y21" s="1">
        <f t="shared" si="5"/>
        <v>12924.991794922817</v>
      </c>
      <c r="Z21" s="1">
        <f t="shared" si="5"/>
        <v>-3136.300587676963</v>
      </c>
      <c r="AA21" s="1">
        <f t="shared" si="5"/>
        <v>-18000.899456297684</v>
      </c>
      <c r="AB21" s="1">
        <f t="shared" si="5"/>
        <v>-31593.260299283051</v>
      </c>
      <c r="AC21" s="1">
        <f t="shared" si="5"/>
        <v>-43847.738977175817</v>
      </c>
      <c r="AD21" s="1">
        <f t="shared" si="5"/>
        <v>-54706.451783026256</v>
      </c>
      <c r="AE21" s="1">
        <f t="shared" si="5"/>
        <v>-64117.934561913316</v>
      </c>
      <c r="AF21" s="1">
        <f t="shared" si="5"/>
        <v>-72036.56784716851</v>
      </c>
      <c r="AG21" s="1">
        <f t="shared" si="5"/>
        <v>-78422.649972329964</v>
      </c>
      <c r="AH21" s="1">
        <f t="shared" si="5"/>
        <v>-83242.938244910765</v>
      </c>
      <c r="AI21" s="1">
        <f t="shared" si="5"/>
        <v>-86471.444442801803</v>
      </c>
      <c r="AJ21" s="1"/>
    </row>
    <row r="36" spans="3:3">
      <c r="C36">
        <f>(C8*C7*(C3^2))/(2*C9)</f>
        <v>0</v>
      </c>
    </row>
  </sheetData>
  <conditionalFormatting sqref="E14:AJ14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E13:AI13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</vt:vector>
  </HeadingPairs>
  <TitlesOfParts>
    <vt:vector size="3" baseType="lpstr">
      <vt:lpstr>Лист1</vt:lpstr>
      <vt:lpstr>Лист2</vt:lpstr>
      <vt:lpstr>Диаграмма1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2021-03-19T06:01:12Z</dcterms:modified>
</cp:coreProperties>
</file>