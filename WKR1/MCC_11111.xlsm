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0" yWindow="0" windowWidth="10520" windowHeight="8350" activeTab="3"/>
  </bookViews>
  <sheets>
    <sheet name="Лист1" sheetId="1" r:id="rId1"/>
    <sheet name="Лист2" sheetId="2" r:id="rId2"/>
    <sheet name="Лист3" sheetId="3" r:id="rId3"/>
    <sheet name="Лист4" sheetId="5" r:id="rId4"/>
  </sheets>
  <calcPr calcId="125725"/>
</workbook>
</file>

<file path=xl/calcChain.xml><?xml version="1.0" encoding="utf-8"?>
<calcChain xmlns="http://schemas.openxmlformats.org/spreadsheetml/2006/main">
  <c r="C18" i="5"/>
  <c r="C5" s="1"/>
  <c r="B18"/>
  <c r="AJ14"/>
  <c r="C4"/>
  <c r="G13" s="1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F18" i="3"/>
  <c r="AA18"/>
  <c r="W18"/>
  <c r="S18"/>
  <c r="V17"/>
  <c r="R17"/>
  <c r="N17"/>
  <c r="H17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C4"/>
  <c r="H17" i="2"/>
  <c r="I17"/>
  <c r="J17"/>
  <c r="M17"/>
  <c r="N17"/>
  <c r="O17"/>
  <c r="P17"/>
  <c r="Q17"/>
  <c r="R17"/>
  <c r="U17"/>
  <c r="V17"/>
  <c r="W17"/>
  <c r="X17"/>
  <c r="Y17"/>
  <c r="Z17"/>
  <c r="AC17"/>
  <c r="AD17"/>
  <c r="AE17"/>
  <c r="AF17"/>
  <c r="AG17"/>
  <c r="AH17"/>
  <c r="U18"/>
  <c r="Y18"/>
  <c r="AC18"/>
  <c r="AG18"/>
  <c r="F18"/>
  <c r="F14" s="1"/>
  <c r="G17" s="1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C4"/>
  <c r="B18" s="1"/>
  <c r="M17" i="1"/>
  <c r="N17"/>
  <c r="U17"/>
  <c r="V17"/>
  <c r="AC17"/>
  <c r="AD17"/>
  <c r="C4"/>
  <c r="G17" s="1"/>
  <c r="B18"/>
  <c r="AJ14"/>
  <c r="AI17" s="1"/>
  <c r="U17" i="5" l="1"/>
  <c r="T17" s="1"/>
  <c r="AC17"/>
  <c r="I17"/>
  <c r="Q17"/>
  <c r="AI17"/>
  <c r="V17"/>
  <c r="AD17"/>
  <c r="J17"/>
  <c r="R17"/>
  <c r="S17"/>
  <c r="AA17"/>
  <c r="O17"/>
  <c r="H17"/>
  <c r="P17"/>
  <c r="W17"/>
  <c r="AE17"/>
  <c r="K17"/>
  <c r="X17"/>
  <c r="AF17"/>
  <c r="L17"/>
  <c r="G17"/>
  <c r="AB17"/>
  <c r="Y17"/>
  <c r="AG17"/>
  <c r="M17"/>
  <c r="Z17"/>
  <c r="AH17"/>
  <c r="N17"/>
  <c r="AA17" i="1"/>
  <c r="S17"/>
  <c r="K17"/>
  <c r="AF18" i="3"/>
  <c r="F14"/>
  <c r="G18" s="1"/>
  <c r="Z17"/>
  <c r="AE18"/>
  <c r="L17" i="1"/>
  <c r="AD17" i="3"/>
  <c r="AI18"/>
  <c r="AB17" i="1"/>
  <c r="AH17"/>
  <c r="R17"/>
  <c r="Y17"/>
  <c r="I17"/>
  <c r="AH17" i="3"/>
  <c r="AF17" i="1"/>
  <c r="X17"/>
  <c r="P17"/>
  <c r="H17"/>
  <c r="Q18" i="2"/>
  <c r="AB17"/>
  <c r="T17"/>
  <c r="L17"/>
  <c r="J17" i="3"/>
  <c r="K18"/>
  <c r="T17" i="1"/>
  <c r="Z17"/>
  <c r="J17"/>
  <c r="AG17"/>
  <c r="Q17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AE17"/>
  <c r="W17"/>
  <c r="O17"/>
  <c r="M18" i="2"/>
  <c r="AA17"/>
  <c r="S17"/>
  <c r="K17"/>
  <c r="L17" i="3"/>
  <c r="O18"/>
  <c r="I17"/>
  <c r="M17"/>
  <c r="Q17"/>
  <c r="U17"/>
  <c r="Y17"/>
  <c r="AC17"/>
  <c r="AG17"/>
  <c r="J18"/>
  <c r="N18"/>
  <c r="R18"/>
  <c r="V18"/>
  <c r="Z18"/>
  <c r="AD18"/>
  <c r="AH18"/>
  <c r="P17"/>
  <c r="T17"/>
  <c r="X17"/>
  <c r="AB17"/>
  <c r="AF17"/>
  <c r="B18"/>
  <c r="I18"/>
  <c r="M18"/>
  <c r="Q18"/>
  <c r="U18"/>
  <c r="Y18"/>
  <c r="AC18"/>
  <c r="AG18"/>
  <c r="K17"/>
  <c r="O17"/>
  <c r="S17"/>
  <c r="W17"/>
  <c r="AA17"/>
  <c r="AE17"/>
  <c r="AI17"/>
  <c r="H18"/>
  <c r="L18"/>
  <c r="P18"/>
  <c r="T18"/>
  <c r="X18"/>
  <c r="AB18"/>
  <c r="AI17" i="2"/>
  <c r="G18"/>
  <c r="AF18"/>
  <c r="AB18"/>
  <c r="X18"/>
  <c r="T18"/>
  <c r="P18"/>
  <c r="L18"/>
  <c r="H18"/>
  <c r="I18"/>
  <c r="AH18"/>
  <c r="AD18"/>
  <c r="Z18"/>
  <c r="V18"/>
  <c r="R18"/>
  <c r="N18"/>
  <c r="J18"/>
  <c r="AI18"/>
  <c r="AE18"/>
  <c r="AA18"/>
  <c r="W18"/>
  <c r="S18"/>
  <c r="O18"/>
  <c r="K18"/>
  <c r="G17" i="3" l="1"/>
</calcChain>
</file>

<file path=xl/sharedStrings.xml><?xml version="1.0" encoding="utf-8"?>
<sst xmlns="http://schemas.openxmlformats.org/spreadsheetml/2006/main" count="50" uniqueCount="15">
  <si>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</si>
  <si>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</si>
  <si>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</si>
  <si>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</si>
  <si>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</si>
  <si>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</si>
  <si>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</si>
  <si>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</si>
  <si>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</si>
  <si>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</si>
  <si>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</si>
  <si>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</si>
  <si>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</si>
  <si>
    <t>alfa</t>
  </si>
  <si>
    <t>T_gas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</si>
</sst>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Лист1!$F$13:$AJ$13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Основной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4B4-4D52-838B-B2A953FE976E}"/>
            </c:ext>
          </c:extLst>
        </c:ser>
        <c:dLbls/>
        <c:axId val="114571136"/>
        <c:axId val="114589696"/>
      </c:scatterChart>
      <c:valAx>
        <c:axId val="114571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/>
        </c:title>
        <c:numFmt formatCode="Основной" sourceLinked="1"/>
        <c:tickLblPos val="nextTo"/>
        <c:crossAx val="114589696"/>
        <c:crosses val="autoZero"/>
        <c:crossBetween val="midCat"/>
      </c:valAx>
      <c:valAx>
        <c:axId val="1145896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 </a:t>
                </a:r>
                <a:r>
                  <a:rPr lang="en-US"/>
                  <a:t>[</a:t>
                </a:r>
                <a:r>
                  <a:rPr lang="ru-RU"/>
                  <a:t>С 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5343186208340061E-2"/>
              <c:y val="0.47580183665238845"/>
            </c:manualLayout>
          </c:layout>
        </c:title>
        <c:numFmt formatCode="Основной" sourceLinked="1"/>
        <c:tickLblPos val="nextTo"/>
        <c:crossAx val="114571136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2058"/>
          <c:h val="0.68880503961932826"/>
        </c:manualLayout>
      </c:layout>
      <c:scatterChart>
        <c:scatterStyle val="smoothMarker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Лист2!$F$13:$AJ$13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Основной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Основной</c:formatCode>
                <c:ptCount val="31"/>
                <c:pt idx="0">
                  <c:v>289.14893317396451</c:v>
                </c:pt>
                <c:pt idx="1">
                  <c:v>282.48226650729782</c:v>
                </c:pt>
                <c:pt idx="2">
                  <c:v>275.84635837071397</c:v>
                </c:pt>
                <c:pt idx="3">
                  <c:v>269.24112156690558</c:v>
                </c:pt>
                <c:pt idx="4">
                  <c:v>262.66638198397527</c:v>
                </c:pt>
                <c:pt idx="5">
                  <c:v>256.12187901828355</c:v>
                </c:pt>
                <c:pt idx="6">
                  <c:v>249.60726641819227</c:v>
                </c:pt>
                <c:pt idx="7">
                  <c:v>243.12211312736531</c:v>
                </c:pt>
                <c:pt idx="8">
                  <c:v>236.66590467641942</c:v>
                </c:pt>
                <c:pt idx="9">
                  <c:v>230.2380444418047</c:v>
                </c:pt>
                <c:pt idx="10">
                  <c:v>223.83785556384214</c:v>
                </c:pt>
                <c:pt idx="11">
                  <c:v>217.46458261367846</c:v>
                </c:pt>
                <c:pt idx="12">
                  <c:v>211.11739400829123</c:v>
                </c:pt>
                <c:pt idx="13">
                  <c:v>204.79538407515955</c:v>
                </c:pt>
                <c:pt idx="14">
                  <c:v>198.4975759276002</c:v>
                </c:pt>
                <c:pt idx="15">
                  <c:v>192.22292391367381</c:v>
                </c:pt>
                <c:pt idx="16">
                  <c:v>185.97031690883253</c:v>
                </c:pt>
                <c:pt idx="17">
                  <c:v>179.73858113216482</c:v>
                </c:pt>
                <c:pt idx="18">
                  <c:v>173.52648380791123</c:v>
                </c:pt>
                <c:pt idx="19">
                  <c:v>167.33273632843506</c:v>
                </c:pt>
                <c:pt idx="20">
                  <c:v>161.15599823179096</c:v>
                </c:pt>
                <c:pt idx="21">
                  <c:v>154.9948806868166</c:v>
                </c:pt>
                <c:pt idx="22">
                  <c:v>148.8479507306775</c:v>
                </c:pt>
                <c:pt idx="23">
                  <c:v>142.71373504725287</c:v>
                </c:pt>
                <c:pt idx="24">
                  <c:v>136.59072440645198</c:v>
                </c:pt>
                <c:pt idx="25">
                  <c:v>130.47737770269063</c:v>
                </c:pt>
                <c:pt idx="26">
                  <c:v>124.37212653676636</c:v>
                </c:pt>
                <c:pt idx="27">
                  <c:v>118.27337947678687</c:v>
                </c:pt>
                <c:pt idx="28">
                  <c:v>112.17952672345702</c:v>
                </c:pt>
                <c:pt idx="29">
                  <c:v>106.08894455144581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159-4E70-ABD3-DAD2871583A9}"/>
            </c:ext>
          </c:extLst>
        </c:ser>
        <c:dLbls/>
        <c:axId val="112501504"/>
        <c:axId val="112503424"/>
      </c:scatterChart>
      <c:valAx>
        <c:axId val="112501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</c:title>
        <c:numFmt formatCode="Основной" sourceLinked="1"/>
        <c:tickLblPos val="nextTo"/>
        <c:crossAx val="112503424"/>
        <c:crosses val="autoZero"/>
        <c:crossBetween val="midCat"/>
      </c:valAx>
      <c:valAx>
        <c:axId val="1125034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</c:title>
        <c:numFmt formatCode="Основной" sourceLinked="1"/>
        <c:tickLblPos val="nextTo"/>
        <c:crossAx val="112501504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xVal>
            <c:strRef>
              <c:f>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xVal>
          <c:yVal>
            <c:numRef>
              <c:f>Лист3!$E$14:$AI$14</c:f>
              <c:numCache>
                <c:formatCode>Основной</c:formatCode>
                <c:ptCount val="31"/>
                <c:pt idx="0">
                  <c:v>0</c:v>
                </c:pt>
                <c:pt idx="1">
                  <c:v>299.8359383227513</c:v>
                </c:pt>
                <c:pt idx="2">
                  <c:v>293.15738312874777</c:v>
                </c:pt>
                <c:pt idx="3">
                  <c:v>286.47989821518399</c:v>
                </c:pt>
                <c:pt idx="4">
                  <c:v>279.80354937767186</c:v>
                </c:pt>
                <c:pt idx="5">
                  <c:v>273.12839553128856</c:v>
                </c:pt>
                <c:pt idx="6">
                  <c:v>266.45448827270877</c:v>
                </c:pt>
                <c:pt idx="7">
                  <c:v>259.78187168411955</c:v>
                </c:pt>
                <c:pt idx="8">
                  <c:v>253.11058191036571</c:v>
                </c:pt>
                <c:pt idx="9">
                  <c:v>246.44064712898484</c:v>
                </c:pt>
                <c:pt idx="10">
                  <c:v>239.77208715586931</c:v>
                </c:pt>
                <c:pt idx="11">
                  <c:v>233.10491357818461</c:v>
                </c:pt>
                <c:pt idx="12">
                  <c:v>226.43912940278241</c:v>
                </c:pt>
                <c:pt idx="13">
                  <c:v>219.77472934348171</c:v>
                </c:pt>
                <c:pt idx="14">
                  <c:v>213.11169952664335</c:v>
                </c:pt>
                <c:pt idx="15">
                  <c:v>206.45001791945498</c:v>
                </c:pt>
                <c:pt idx="16">
                  <c:v>199.78965410663804</c:v>
                </c:pt>
                <c:pt idx="17">
                  <c:v>193.13056984215211</c:v>
                </c:pt>
                <c:pt idx="18">
                  <c:v>186.47271890991877</c:v>
                </c:pt>
                <c:pt idx="19">
                  <c:v>179.81604777788684</c:v>
                </c:pt>
                <c:pt idx="20">
                  <c:v>173.16049555392104</c:v>
                </c:pt>
                <c:pt idx="21">
                  <c:v>166.50599471855202</c:v>
                </c:pt>
                <c:pt idx="22">
                  <c:v>159.85247118482096</c:v>
                </c:pt>
                <c:pt idx="23">
                  <c:v>153.19984508434757</c:v>
                </c:pt>
                <c:pt idx="24">
                  <c:v>146.54803093700164</c:v>
                </c:pt>
                <c:pt idx="25">
                  <c:v>139.89693846419001</c:v>
                </c:pt>
                <c:pt idx="26">
                  <c:v>133.2464728708332</c:v>
                </c:pt>
                <c:pt idx="27">
                  <c:v>126.59653565998903</c:v>
                </c:pt>
                <c:pt idx="28">
                  <c:v>119.94702502586227</c:v>
                </c:pt>
                <c:pt idx="29">
                  <c:v>113.29783664500491</c:v>
                </c:pt>
                <c:pt idx="30">
                  <c:v>106.64886417511451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E0A-4D83-A84F-D7480B52F5AA}"/>
            </c:ext>
          </c:extLst>
        </c:ser>
        <c:dLbls/>
        <c:axId val="114958336"/>
        <c:axId val="114960256"/>
      </c:scatterChart>
      <c:valAx>
        <c:axId val="114958336"/>
        <c:scaling>
          <c:orientation val="minMax"/>
          <c:max val="2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</c:title>
        <c:numFmt formatCode="Основной" sourceLinked="0"/>
        <c:tickLblPos val="low"/>
        <c:crossAx val="114960256"/>
        <c:crosses val="autoZero"/>
        <c:crossBetween val="midCat"/>
        <c:majorUnit val="2.5"/>
      </c:valAx>
      <c:valAx>
        <c:axId val="1149602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T, [C]</a:t>
                </a:r>
                <a:endParaRPr lang="ru-RU"/>
              </a:p>
            </c:rich>
          </c:tx>
          <c:layout/>
        </c:title>
        <c:numFmt formatCode="Основной" sourceLinked="1"/>
        <c:tickLblPos val="nextTo"/>
        <c:crossAx val="114958336"/>
        <c:crossesAt val="0"/>
        <c:crossBetween val="midCat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3"/>
  <c:chart>
    <c:plotArea>
      <c:layout/>
      <c:scatterChart>
        <c:scatterStyle val="smoothMarker"/>
        <c:ser>
          <c:idx val="1"/>
          <c:order val="0"/>
          <c:xVal>
            <c:numRef>
              <c:f>Лист3!$F$13:$AJ$13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Основной">
                  <c:v>12.989999999999997</c:v>
                </c:pt>
              </c:numCache>
            </c:numRef>
          </c:xVal>
          <c:yVal>
            <c:numRef>
              <c:f>Лист3!$F$14:$AJ$14</c:f>
              <c:numCache>
                <c:formatCode>Основной</c:formatCode>
                <c:ptCount val="31"/>
                <c:pt idx="0">
                  <c:v>299.8359383227513</c:v>
                </c:pt>
                <c:pt idx="1">
                  <c:v>293.15738312874777</c:v>
                </c:pt>
                <c:pt idx="2">
                  <c:v>286.47989821518399</c:v>
                </c:pt>
                <c:pt idx="3">
                  <c:v>279.80354937767186</c:v>
                </c:pt>
                <c:pt idx="4">
                  <c:v>273.12839553128856</c:v>
                </c:pt>
                <c:pt idx="5">
                  <c:v>266.45448827270877</c:v>
                </c:pt>
                <c:pt idx="6">
                  <c:v>259.78187168411955</c:v>
                </c:pt>
                <c:pt idx="7">
                  <c:v>253.11058191036571</c:v>
                </c:pt>
                <c:pt idx="8">
                  <c:v>246.44064712898484</c:v>
                </c:pt>
                <c:pt idx="9">
                  <c:v>239.77208715586931</c:v>
                </c:pt>
                <c:pt idx="10">
                  <c:v>233.10491357818461</c:v>
                </c:pt>
                <c:pt idx="11">
                  <c:v>226.43912940278241</c:v>
                </c:pt>
                <c:pt idx="12">
                  <c:v>219.77472934348171</c:v>
                </c:pt>
                <c:pt idx="13">
                  <c:v>213.11169952664335</c:v>
                </c:pt>
                <c:pt idx="14">
                  <c:v>206.45001791945498</c:v>
                </c:pt>
                <c:pt idx="15">
                  <c:v>199.78965410663804</c:v>
                </c:pt>
                <c:pt idx="16">
                  <c:v>193.13056984215211</c:v>
                </c:pt>
                <c:pt idx="17">
                  <c:v>186.47271890991877</c:v>
                </c:pt>
                <c:pt idx="18">
                  <c:v>179.81604777788684</c:v>
                </c:pt>
                <c:pt idx="19">
                  <c:v>173.16049555392104</c:v>
                </c:pt>
                <c:pt idx="20">
                  <c:v>166.50599471855202</c:v>
                </c:pt>
                <c:pt idx="21">
                  <c:v>159.85247118482096</c:v>
                </c:pt>
                <c:pt idx="22">
                  <c:v>153.19984508434757</c:v>
                </c:pt>
                <c:pt idx="23">
                  <c:v>146.54803093700164</c:v>
                </c:pt>
                <c:pt idx="24">
                  <c:v>139.89693846419001</c:v>
                </c:pt>
                <c:pt idx="25">
                  <c:v>133.2464728708332</c:v>
                </c:pt>
                <c:pt idx="26">
                  <c:v>126.59653565998903</c:v>
                </c:pt>
                <c:pt idx="27">
                  <c:v>119.94702502586227</c:v>
                </c:pt>
                <c:pt idx="28">
                  <c:v>113.29783664500491</c:v>
                </c:pt>
                <c:pt idx="29">
                  <c:v>106.64886417511451</c:v>
                </c:pt>
                <c:pt idx="30">
                  <c:v>100</c:v>
                </c:pt>
              </c:numCache>
            </c:numRef>
          </c:yVal>
          <c:smooth val="1"/>
        </c:ser>
        <c:axId val="167607680"/>
        <c:axId val="87119360"/>
      </c:scatterChart>
      <c:valAx>
        <c:axId val="167607680"/>
        <c:scaling>
          <c:orientation val="minMax"/>
          <c:max val="2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</c:title>
        <c:numFmt formatCode="Основной" sourceLinked="0"/>
        <c:tickLblPos val="low"/>
        <c:crossAx val="87119360"/>
        <c:crosses val="autoZero"/>
        <c:crossBetween val="midCat"/>
        <c:majorUnit val="2.5"/>
      </c:valAx>
      <c:valAx>
        <c:axId val="871193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T, [C]</a:t>
                </a:r>
                <a:endParaRPr lang="ru-RU"/>
              </a:p>
            </c:rich>
          </c:tx>
          <c:layout/>
        </c:title>
        <c:numFmt formatCode="Основной" sourceLinked="1"/>
        <c:tickLblPos val="nextTo"/>
        <c:crossAx val="167607680"/>
        <c:crossesAt val="0"/>
        <c:crossBetween val="midCat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lineChart>
        <c:grouping val="stacked"/>
        <c:ser>
          <c:idx val="0"/>
          <c:order val="0"/>
          <c:tx>
            <c:strRef>
              <c:f>Лист4!$E$14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Лист4!$F$13:$AJ$13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Основной">
                  <c:v>9.9999999999999936E-2</c:v>
                </c:pt>
              </c:numCache>
            </c:numRef>
          </c:cat>
          <c:val>
            <c:numRef>
              <c:f>Лист4!$F$14:$AI$14</c:f>
              <c:numCache>
                <c:formatCode>Основной</c:formatCode>
                <c:ptCount val="30"/>
                <c:pt idx="0">
                  <c:v>300</c:v>
                </c:pt>
                <c:pt idx="1">
                  <c:v>279.6777832932313</c:v>
                </c:pt>
                <c:pt idx="2">
                  <c:v>259.48548607371117</c:v>
                </c:pt>
                <c:pt idx="3">
                  <c:v>239.54946140546429</c:v>
                </c:pt>
                <c:pt idx="4">
                  <c:v>219.98905894143218</c:v>
                </c:pt>
                <c:pt idx="5">
                  <c:v>200.91344099667188</c:v>
                </c:pt>
                <c:pt idx="6">
                  <c:v>182.41876402461108</c:v>
                </c:pt>
                <c:pt idx="7">
                  <c:v>164.58582152611231</c:v>
                </c:pt>
                <c:pt idx="8">
                  <c:v>147.47822454739674</c:v>
                </c:pt>
                <c:pt idx="9">
                  <c:v>131.14117076713387</c:v>
                </c:pt>
                <c:pt idx="10">
                  <c:v>115.60083593371471</c:v>
                </c:pt>
                <c:pt idx="11">
                  <c:v>100.86436074974156</c:v>
                </c:pt>
                <c:pt idx="12">
                  <c:v>86.920533169111124</c:v>
                </c:pt>
                <c:pt idx="13">
                  <c:v>73.740577831419671</c:v>
                </c:pt>
                <c:pt idx="14">
                  <c:v>61.281348262421247</c:v>
                </c:pt>
                <c:pt idx="15">
                  <c:v>61.281348262421247</c:v>
                </c:pt>
                <c:pt idx="16">
                  <c:v>61.676382147765864</c:v>
                </c:pt>
                <c:pt idx="17">
                  <c:v>62.471134934715927</c:v>
                </c:pt>
                <c:pt idx="18">
                  <c:v>63.640355416038545</c:v>
                </c:pt>
                <c:pt idx="19">
                  <c:v>65.196844026661836</c:v>
                </c:pt>
                <c:pt idx="20">
                  <c:v>67.093205854708756</c:v>
                </c:pt>
                <c:pt idx="21">
                  <c:v>69.346816963593383</c:v>
                </c:pt>
                <c:pt idx="22">
                  <c:v>71.893891223225694</c:v>
                </c:pt>
                <c:pt idx="23">
                  <c:v>74.751190199943309</c:v>
                </c:pt>
                <c:pt idx="24">
                  <c:v>77.84608196473863</c:v>
                </c:pt>
                <c:pt idx="25">
                  <c:v>81.188812958994873</c:v>
                </c:pt>
                <c:pt idx="26">
                  <c:v>84.7061365548564</c:v>
                </c:pt>
                <c:pt idx="27">
                  <c:v>88.396260890317251</c:v>
                </c:pt>
                <c:pt idx="28">
                  <c:v>92.193053198489508</c:v>
                </c:pt>
                <c:pt idx="29">
                  <c:v>96.078591498293775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E33-4EB7-8CED-87E0593A37F7}"/>
            </c:ext>
          </c:extLst>
        </c:ser>
        <c:dLbls/>
        <c:marker val="1"/>
        <c:axId val="160762496"/>
        <c:axId val="160789248"/>
      </c:lineChart>
      <c:catAx>
        <c:axId val="160762496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Основной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89248"/>
        <c:crosses val="autoZero"/>
        <c:auto val="1"/>
        <c:lblAlgn val="ctr"/>
        <c:lblOffset val="100"/>
        <c:tickLblSkip val="1"/>
      </c:catAx>
      <c:valAx>
        <c:axId val="1607892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Основной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62496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zero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222250</xdr:colOff>
      <xdr:row>18</xdr:row>
      <xdr:rowOff>9525</xdr:rowOff>
    </xdr:from>
    <xdr:to>
      <xdr:col>32</xdr:col>
      <xdr:colOff>7938</xdr:colOff>
      <xdr:row>33</xdr:row>
      <xdr:rowOff>174624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1814</xdr:colOff>
      <xdr:row>20</xdr:row>
      <xdr:rowOff>7257</xdr:rowOff>
    </xdr:from>
    <xdr:to>
      <xdr:col>20</xdr:col>
      <xdr:colOff>319314</xdr:colOff>
      <xdr:row>35</xdr:row>
      <xdr:rowOff>25400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209550</xdr:colOff>
      <xdr:row>19</xdr:row>
      <xdr:rowOff>63500</xdr:rowOff>
    </xdr:from>
    <xdr:to>
      <xdr:col>29</xdr:col>
      <xdr:colOff>514350</xdr:colOff>
      <xdr:row>34</xdr:row>
      <xdr:rowOff>44450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19</xdr:row>
      <xdr:rowOff>88900</xdr:rowOff>
    </xdr:from>
    <xdr:to>
      <xdr:col>21</xdr:col>
      <xdr:colOff>184150</xdr:colOff>
      <xdr:row>34</xdr:row>
      <xdr:rowOff>69850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373380</xdr:colOff>
      <xdr:row>19</xdr:row>
      <xdr:rowOff>171450</xdr:rowOff>
    </xdr:from>
    <xdr:to>
      <xdr:col>16</xdr:col>
      <xdr:colOff>586740</xdr:colOff>
      <xdr:row>34</xdr:row>
      <xdr:rowOff>171450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3:AJ18"/>
  <sheetViews>
    <sheetView topLeftCell="A7" zoomScale="80" zoomScaleNormal="80" workbookViewId="0">
      <selection activeCell="AK31" sqref="AK31"/>
    </sheetView>
  </sheetViews>
  <sheetFormatPr defaultRowHeight="14.5"/>
  <cols>
    <col min="6" max="6" width="6.81640625" bestFit="1" customWidth="1"/>
    <col min="7" max="7" width="7" customWidth="1"/>
    <col min="8" max="15" width="5.81640625" bestFit="1" customWidth="1"/>
    <col min="16" max="16" width="4.81640625" bestFit="1" customWidth="1"/>
    <col min="17" max="25" width="5.81640625" bestFit="1" customWidth="1"/>
    <col min="26" max="26" width="4.81640625" bestFit="1" customWidth="1"/>
    <col min="27" max="35" width="5.81640625" bestFit="1" customWidth="1"/>
    <col min="36" max="36" width="4.816406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0.433</v>
      </c>
    </row>
    <row r="6" spans="2:36">
      <c r="B6" s="1" t="s">
        <v>3</v>
      </c>
      <c r="C6" s="1">
        <v>60</v>
      </c>
      <c r="D6">
        <v>60.186999999999998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>
      <c r="B14" s="1" t="s">
        <v>9</v>
      </c>
      <c r="C14" s="1">
        <v>100</v>
      </c>
      <c r="E14" s="1" t="s">
        <v>7</v>
      </c>
      <c r="F14" s="1">
        <v>300</v>
      </c>
      <c r="G14" s="1">
        <v>280.3451356906275</v>
      </c>
      <c r="H14" s="1">
        <v>260.98550140677543</v>
      </c>
      <c r="I14" s="1">
        <v>241.68925448971564</v>
      </c>
      <c r="J14" s="1">
        <v>223.25830143373341</v>
      </c>
      <c r="K14" s="1">
        <v>204.94974418109416</v>
      </c>
      <c r="L14" s="1">
        <v>188.01783618323876</v>
      </c>
      <c r="M14" s="1">
        <v>171.25910700372717</v>
      </c>
      <c r="N14" s="1">
        <v>156.29830625258549</v>
      </c>
      <c r="O14" s="1">
        <v>141.55035379302507</v>
      </c>
      <c r="P14" s="1">
        <v>128.91021776688675</v>
      </c>
      <c r="Q14" s="1">
        <v>116.50979760314505</v>
      </c>
      <c r="R14" s="1">
        <v>106.40567709089358</v>
      </c>
      <c r="S14" s="1">
        <v>96.55487619169071</v>
      </c>
      <c r="T14" s="1">
        <v>89.068092766976434</v>
      </c>
      <c r="U14" s="1">
        <v>81.835567611964265</v>
      </c>
      <c r="V14" s="1">
        <v>76.923159498966456</v>
      </c>
      <c r="W14" s="1">
        <v>72.25464791067192</v>
      </c>
      <c r="X14" s="1">
        <v>69.765430738472972</v>
      </c>
      <c r="Y14" s="1">
        <v>67.50023812873907</v>
      </c>
      <c r="Z14" s="1">
        <v>67.193816703717232</v>
      </c>
      <c r="AA14" s="1">
        <v>67.083944762128951</v>
      </c>
      <c r="AB14" s="1">
        <v>68.649886812201174</v>
      </c>
      <c r="AC14" s="1">
        <v>70.379100206678658</v>
      </c>
      <c r="AD14" s="1">
        <v>73.454444848712399</v>
      </c>
      <c r="AE14" s="1">
        <v>76.655552354286499</v>
      </c>
      <c r="AF14" s="1">
        <v>80.839843367225896</v>
      </c>
      <c r="AG14" s="1">
        <v>85.109475973702843</v>
      </c>
      <c r="AH14" s="1">
        <v>89.977328318826025</v>
      </c>
      <c r="AI14" s="1">
        <v>94.888286134147862</v>
      </c>
      <c r="AJ14" s="1">
        <f>C14</f>
        <v>100</v>
      </c>
    </row>
    <row r="17" spans="2:36">
      <c r="E17" s="1" t="s">
        <v>10</v>
      </c>
      <c r="F17" s="1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1"/>
    </row>
    <row r="18" spans="2:36">
      <c r="B18">
        <f>(C9*C8*C4^2)/(2*C10)</f>
        <v>0.4333333333333334</v>
      </c>
    </row>
  </sheetData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B3:AJ18"/>
  <sheetViews>
    <sheetView zoomScale="70" zoomScaleNormal="70" workbookViewId="0">
      <selection activeCell="G14" sqref="G14:AI14"/>
    </sheetView>
  </sheetViews>
  <sheetFormatPr defaultRowHeight="14.5"/>
  <cols>
    <col min="7" max="7" width="9.63281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0.433</v>
      </c>
    </row>
    <row r="6" spans="2:36">
      <c r="B6" s="1" t="s">
        <v>3</v>
      </c>
      <c r="C6" s="1">
        <v>1000</v>
      </c>
      <c r="D6">
        <v>1000.23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11</v>
      </c>
      <c r="C13" s="1">
        <v>92000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>
      <c r="B14" s="1" t="s">
        <v>9</v>
      </c>
      <c r="C14" s="1">
        <v>100</v>
      </c>
      <c r="E14" s="1" t="s">
        <v>7</v>
      </c>
      <c r="F14" s="1">
        <f>(F18/C10)*C4+G14</f>
        <v>289.14893317396451</v>
      </c>
      <c r="G14" s="1">
        <v>282.48226650729782</v>
      </c>
      <c r="H14" s="1">
        <v>275.84635837071397</v>
      </c>
      <c r="I14" s="1">
        <v>269.24112156690558</v>
      </c>
      <c r="J14" s="1">
        <v>262.66638198397527</v>
      </c>
      <c r="K14" s="1">
        <v>256.12187901828355</v>
      </c>
      <c r="L14" s="1">
        <v>249.60726641819227</v>
      </c>
      <c r="M14" s="1">
        <v>243.12211312736531</v>
      </c>
      <c r="N14" s="1">
        <v>236.66590467641942</v>
      </c>
      <c r="O14" s="1">
        <v>230.2380444418047</v>
      </c>
      <c r="P14" s="1">
        <v>223.83785556384214</v>
      </c>
      <c r="Q14" s="1">
        <v>217.46458261367846</v>
      </c>
      <c r="R14" s="1">
        <v>211.11739400829123</v>
      </c>
      <c r="S14" s="1">
        <v>204.79538407515955</v>
      </c>
      <c r="T14" s="1">
        <v>198.4975759276002</v>
      </c>
      <c r="U14" s="1">
        <v>192.22292391367381</v>
      </c>
      <c r="V14" s="1">
        <v>185.97031690883253</v>
      </c>
      <c r="W14" s="1">
        <v>179.73858113216482</v>
      </c>
      <c r="X14" s="1">
        <v>173.52648380791123</v>
      </c>
      <c r="Y14" s="1">
        <v>167.33273632843506</v>
      </c>
      <c r="Z14" s="1">
        <v>161.15599823179096</v>
      </c>
      <c r="AA14" s="1">
        <v>154.9948806868166</v>
      </c>
      <c r="AB14" s="1">
        <v>148.8479507306775</v>
      </c>
      <c r="AC14" s="1">
        <v>142.71373504725287</v>
      </c>
      <c r="AD14" s="1">
        <v>136.59072440645198</v>
      </c>
      <c r="AE14" s="1">
        <v>130.47737770269063</v>
      </c>
      <c r="AF14" s="1">
        <v>124.37212653676636</v>
      </c>
      <c r="AG14" s="1">
        <v>118.27337947678687</v>
      </c>
      <c r="AH14" s="1">
        <v>112.17952672345702</v>
      </c>
      <c r="AI14" s="1">
        <v>106.08894455144581</v>
      </c>
      <c r="AJ14" s="1">
        <v>100</v>
      </c>
    </row>
    <row r="17" spans="2:36">
      <c r="E17" s="1" t="s">
        <v>10</v>
      </c>
      <c r="F17" s="1"/>
      <c r="G17" s="4">
        <f>G14+(($C$10*$C$5)/($C$9*$C$8))*((H14-2*G14+F14)/($C$4^2))</f>
        <v>282.49763394213534</v>
      </c>
      <c r="H17" s="4">
        <f t="shared" ref="H17:AI17" si="1">H14+(($C$10*$C$5)/($C$9*$C$8))*((I14-2*H14+G14)/($C$4^2))</f>
        <v>275.86168224043524</v>
      </c>
      <c r="I17" s="4">
        <f t="shared" si="1"/>
        <v>269.25635844764429</v>
      </c>
      <c r="J17" s="4">
        <f t="shared" si="1"/>
        <v>262.6814886631264</v>
      </c>
      <c r="K17" s="4">
        <f t="shared" si="1"/>
        <v>256.13681270478929</v>
      </c>
      <c r="L17" s="4">
        <f t="shared" si="1"/>
        <v>249.62198474232088</v>
      </c>
      <c r="M17" s="4">
        <f t="shared" si="1"/>
        <v>243.13657441467512</v>
      </c>
      <c r="N17" s="4">
        <f t="shared" si="1"/>
        <v>236.68006788142489</v>
      </c>
      <c r="O17" s="4">
        <f t="shared" si="1"/>
        <v>230.25186947730128</v>
      </c>
      <c r="P17" s="4">
        <f t="shared" si="1"/>
        <v>223.85130317546165</v>
      </c>
      <c r="Q17" s="4">
        <f t="shared" si="1"/>
        <v>217.4776147536264</v>
      </c>
      <c r="R17" s="4">
        <f t="shared" si="1"/>
        <v>211.12997366031428</v>
      </c>
      <c r="S17" s="4">
        <f t="shared" si="1"/>
        <v>204.80747565956665</v>
      </c>
      <c r="T17" s="4">
        <f t="shared" si="1"/>
        <v>198.50914508821143</v>
      </c>
      <c r="U17" s="4">
        <f t="shared" si="1"/>
        <v>192.23393793936671</v>
      </c>
      <c r="V17" s="4">
        <f t="shared" si="1"/>
        <v>185.98074449552388</v>
      </c>
      <c r="W17" s="4">
        <f t="shared" si="1"/>
        <v>179.74839280512094</v>
      </c>
      <c r="X17" s="4">
        <f t="shared" si="1"/>
        <v>173.53565167266734</v>
      </c>
      <c r="Y17" s="4">
        <f t="shared" si="1"/>
        <v>167.34123447778077</v>
      </c>
      <c r="Z17" s="4">
        <f t="shared" si="1"/>
        <v>161.16380249972136</v>
      </c>
      <c r="AA17" s="4">
        <f t="shared" si="1"/>
        <v>155.0019690244693</v>
      </c>
      <c r="AB17" s="4">
        <f t="shared" si="1"/>
        <v>148.85430297692983</v>
      </c>
      <c r="AC17" s="4">
        <f t="shared" si="1"/>
        <v>142.71933325893295</v>
      </c>
      <c r="AD17" s="4">
        <f t="shared" si="1"/>
        <v>136.59555265807288</v>
      </c>
      <c r="AE17" s="4">
        <f t="shared" si="1"/>
        <v>130.48142235794077</v>
      </c>
      <c r="AF17" s="4">
        <f t="shared" si="1"/>
        <v>124.37537608815956</v>
      </c>
      <c r="AG17" s="4">
        <f t="shared" si="1"/>
        <v>118.27582474768606</v>
      </c>
      <c r="AH17" s="4">
        <f t="shared" si="1"/>
        <v>112.18116075620044</v>
      </c>
      <c r="AI17" s="4">
        <f t="shared" si="1"/>
        <v>106.08976273187444</v>
      </c>
      <c r="AJ17" s="1"/>
    </row>
    <row r="18" spans="2:36">
      <c r="B18">
        <f>(C9*C8*C4^2)/(2*C10)</f>
        <v>0.4333333333333334</v>
      </c>
      <c r="E18" s="5" t="s">
        <v>12</v>
      </c>
      <c r="F18">
        <f>C13</f>
        <v>92000</v>
      </c>
      <c r="G18">
        <f t="shared" ref="G18:AI18" si="2">-$C$10*((G14-F14))/$C$4</f>
        <v>92000.000000000262</v>
      </c>
      <c r="H18">
        <f t="shared" si="2"/>
        <v>91575.532284857138</v>
      </c>
      <c r="I18">
        <f t="shared" si="2"/>
        <v>91152.267892555858</v>
      </c>
      <c r="J18">
        <f t="shared" si="2"/>
        <v>90731.406244438214</v>
      </c>
      <c r="K18">
        <f t="shared" si="2"/>
        <v>90314.140926545733</v>
      </c>
      <c r="L18">
        <f t="shared" si="2"/>
        <v>89901.653881259699</v>
      </c>
      <c r="M18">
        <f t="shared" si="2"/>
        <v>89495.115413412015</v>
      </c>
      <c r="N18">
        <f t="shared" si="2"/>
        <v>89095.676623053339</v>
      </c>
      <c r="O18">
        <f t="shared" si="2"/>
        <v>88704.471237683028</v>
      </c>
      <c r="P18">
        <f t="shared" si="2"/>
        <v>88322.606515883366</v>
      </c>
      <c r="Q18">
        <f t="shared" si="2"/>
        <v>87951.166712258797</v>
      </c>
      <c r="R18">
        <f t="shared" si="2"/>
        <v>87591.202754343787</v>
      </c>
      <c r="S18">
        <f t="shared" si="2"/>
        <v>87243.7370772172</v>
      </c>
      <c r="T18">
        <f t="shared" si="2"/>
        <v>86909.752436319046</v>
      </c>
      <c r="U18">
        <f t="shared" si="2"/>
        <v>86590.197792184103</v>
      </c>
      <c r="V18">
        <f t="shared" si="2"/>
        <v>86285.976666809671</v>
      </c>
      <c r="W18">
        <f t="shared" si="2"/>
        <v>85997.953718014323</v>
      </c>
      <c r="X18">
        <f t="shared" si="2"/>
        <v>85726.943074699549</v>
      </c>
      <c r="Y18">
        <f t="shared" si="2"/>
        <v>85473.715216771176</v>
      </c>
      <c r="Z18">
        <f t="shared" si="2"/>
        <v>85238.985733688591</v>
      </c>
      <c r="AA18">
        <f t="shared" si="2"/>
        <v>85023.422120646166</v>
      </c>
      <c r="AB18">
        <f t="shared" si="2"/>
        <v>84827.633394719625</v>
      </c>
      <c r="AC18">
        <f t="shared" si="2"/>
        <v>84652.176431259868</v>
      </c>
      <c r="AD18">
        <f t="shared" si="2"/>
        <v>84497.546843052216</v>
      </c>
      <c r="AE18">
        <f t="shared" si="2"/>
        <v>84364.184511906642</v>
      </c>
      <c r="AF18">
        <f t="shared" si="2"/>
        <v>84252.466089754962</v>
      </c>
      <c r="AG18">
        <f t="shared" si="2"/>
        <v>84162.709427716938</v>
      </c>
      <c r="AH18">
        <f t="shared" si="2"/>
        <v>84095.167995951997</v>
      </c>
      <c r="AI18">
        <f t="shared" si="2"/>
        <v>84050.033973754689</v>
      </c>
    </row>
  </sheetData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B3:AJ18"/>
  <sheetViews>
    <sheetView topLeftCell="K13" workbookViewId="0">
      <selection activeCell="L28" sqref="L28"/>
    </sheetView>
  </sheetViews>
  <sheetFormatPr defaultRowHeight="14.5"/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0.433</v>
      </c>
    </row>
    <row r="6" spans="2:36">
      <c r="B6" s="1" t="s">
        <v>3</v>
      </c>
      <c r="C6" s="1">
        <v>1000</v>
      </c>
      <c r="D6">
        <v>1000.23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 t="s">
        <v>13</v>
      </c>
      <c r="C12" s="1">
        <v>1000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14</v>
      </c>
      <c r="C13" s="1">
        <v>392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>
      <c r="B14" s="1" t="s">
        <v>9</v>
      </c>
      <c r="C14" s="1">
        <v>100</v>
      </c>
      <c r="E14" s="1" t="s">
        <v>7</v>
      </c>
      <c r="F14" s="1">
        <f>(C10*G14+C12*C13*C4)/(C10+C12*C4)</f>
        <v>299.8359383227513</v>
      </c>
      <c r="G14" s="1">
        <v>293.15738312874777</v>
      </c>
      <c r="H14" s="1">
        <v>286.47989821518399</v>
      </c>
      <c r="I14" s="1">
        <v>279.80354937767186</v>
      </c>
      <c r="J14" s="1">
        <v>273.12839553128856</v>
      </c>
      <c r="K14" s="1">
        <v>266.45448827270877</v>
      </c>
      <c r="L14" s="1">
        <v>259.78187168411955</v>
      </c>
      <c r="M14" s="1">
        <v>253.11058191036571</v>
      </c>
      <c r="N14" s="1">
        <v>246.44064712898484</v>
      </c>
      <c r="O14" s="1">
        <v>239.77208715586931</v>
      </c>
      <c r="P14" s="1">
        <v>233.10491357818461</v>
      </c>
      <c r="Q14" s="1">
        <v>226.43912940278241</v>
      </c>
      <c r="R14" s="1">
        <v>219.77472934348171</v>
      </c>
      <c r="S14" s="1">
        <v>213.11169952664335</v>
      </c>
      <c r="T14" s="1">
        <v>206.45001791945498</v>
      </c>
      <c r="U14" s="1">
        <v>199.78965410663804</v>
      </c>
      <c r="V14" s="1">
        <v>193.13056984215211</v>
      </c>
      <c r="W14" s="1">
        <v>186.47271890991877</v>
      </c>
      <c r="X14" s="1">
        <v>179.81604777788684</v>
      </c>
      <c r="Y14" s="1">
        <v>173.16049555392104</v>
      </c>
      <c r="Z14" s="1">
        <v>166.50599471855202</v>
      </c>
      <c r="AA14" s="1">
        <v>159.85247118482096</v>
      </c>
      <c r="AB14" s="1">
        <v>153.19984508434757</v>
      </c>
      <c r="AC14" s="1">
        <v>146.54803093700164</v>
      </c>
      <c r="AD14" s="1">
        <v>139.89693846419001</v>
      </c>
      <c r="AE14" s="1">
        <v>133.2464728708332</v>
      </c>
      <c r="AF14" s="1">
        <v>126.59653565998903</v>
      </c>
      <c r="AG14" s="1">
        <v>119.94702502586227</v>
      </c>
      <c r="AH14" s="1">
        <v>113.29783664500491</v>
      </c>
      <c r="AI14" s="1">
        <v>106.64886417511451</v>
      </c>
      <c r="AJ14" s="1">
        <v>100</v>
      </c>
    </row>
    <row r="17" spans="2:36">
      <c r="E17" s="1" t="s">
        <v>10</v>
      </c>
      <c r="F17" s="1"/>
      <c r="G17" s="4">
        <f>G14+(($C$10*$C$5)/($C$9*$C$8))*((H14-2*G14+F14)/($C$4^2))</f>
        <v>293.15791785732131</v>
      </c>
      <c r="H17" s="4">
        <f t="shared" ref="H17:AI17" si="1">H14+(($C$10*$C$5)/($C$9*$C$8))*((I14-2*H14+G14)/($C$4^2))</f>
        <v>286.48046581625749</v>
      </c>
      <c r="I17" s="4">
        <f t="shared" si="1"/>
        <v>279.80414641362432</v>
      </c>
      <c r="J17" s="4">
        <f t="shared" si="1"/>
        <v>273.12901834573347</v>
      </c>
      <c r="K17" s="4">
        <f t="shared" si="1"/>
        <v>266.45513311129253</v>
      </c>
      <c r="L17" s="4">
        <f t="shared" si="1"/>
        <v>259.78253458122384</v>
      </c>
      <c r="M17" s="4">
        <f t="shared" si="1"/>
        <v>253.11125888540127</v>
      </c>
      <c r="N17" s="4">
        <f t="shared" si="1"/>
        <v>246.44133400434509</v>
      </c>
      <c r="O17" s="4">
        <f t="shared" si="1"/>
        <v>239.77277982035571</v>
      </c>
      <c r="P17" s="4">
        <f t="shared" si="1"/>
        <v>233.10560774494036</v>
      </c>
      <c r="Q17" s="4">
        <f t="shared" si="1"/>
        <v>226.4398209284808</v>
      </c>
      <c r="R17" s="4">
        <f t="shared" si="1"/>
        <v>219.77541393769656</v>
      </c>
      <c r="S17" s="4">
        <f t="shared" si="1"/>
        <v>213.11237311292618</v>
      </c>
      <c r="T17" s="4">
        <f t="shared" si="1"/>
        <v>206.45067630979671</v>
      </c>
      <c r="U17" s="4">
        <f t="shared" si="1"/>
        <v>199.79029338866957</v>
      </c>
      <c r="V17" s="4">
        <f t="shared" si="1"/>
        <v>193.13118603391985</v>
      </c>
      <c r="W17" s="4">
        <f t="shared" si="1"/>
        <v>186.47330835625016</v>
      </c>
      <c r="X17" s="4">
        <f t="shared" si="1"/>
        <v>179.81660680157066</v>
      </c>
      <c r="Y17" s="4">
        <f t="shared" si="1"/>
        <v>173.1610208438392</v>
      </c>
      <c r="Z17" s="4">
        <f t="shared" si="1"/>
        <v>166.50648299348575</v>
      </c>
      <c r="AA17" s="4">
        <f t="shared" si="1"/>
        <v>159.85291955628315</v>
      </c>
      <c r="AB17" s="4">
        <f t="shared" si="1"/>
        <v>153.20025074862164</v>
      </c>
      <c r="AC17" s="4">
        <f t="shared" si="1"/>
        <v>146.54839149670167</v>
      </c>
      <c r="AD17" s="4">
        <f t="shared" si="1"/>
        <v>139.89725166280994</v>
      </c>
      <c r="AE17" s="4">
        <f t="shared" si="1"/>
        <v>133.24673685886549</v>
      </c>
      <c r="AF17" s="4">
        <f t="shared" si="1"/>
        <v>126.59674878427977</v>
      </c>
      <c r="AG17" s="4">
        <f t="shared" si="1"/>
        <v>119.9471860285534</v>
      </c>
      <c r="AH17" s="4">
        <f t="shared" si="1"/>
        <v>113.29794451744571</v>
      </c>
      <c r="AI17" s="4">
        <f t="shared" si="1"/>
        <v>106.64891828085062</v>
      </c>
      <c r="AJ17" s="1"/>
    </row>
    <row r="18" spans="2:36">
      <c r="B18">
        <f>(C9*C8*C4^2)/(2*C10)</f>
        <v>0.4333333333333334</v>
      </c>
      <c r="E18" s="5"/>
      <c r="F18">
        <f>C12*(C13-C14)</f>
        <v>292000</v>
      </c>
      <c r="G18">
        <f t="shared" ref="G18:AI18" si="2">-$C$10*((G14-F14))/$C$4</f>
        <v>92164.061677248799</v>
      </c>
      <c r="H18">
        <f t="shared" si="2"/>
        <v>92149.291807180067</v>
      </c>
      <c r="I18">
        <f t="shared" si="2"/>
        <v>92133.61395766749</v>
      </c>
      <c r="J18">
        <f t="shared" si="2"/>
        <v>92117.12308008947</v>
      </c>
      <c r="K18">
        <f t="shared" si="2"/>
        <v>92099.920168401077</v>
      </c>
      <c r="L18">
        <f t="shared" si="2"/>
        <v>92082.108922531246</v>
      </c>
      <c r="M18">
        <f t="shared" si="2"/>
        <v>92063.798877802998</v>
      </c>
      <c r="N18">
        <f t="shared" si="2"/>
        <v>92045.099983056061</v>
      </c>
      <c r="O18">
        <f t="shared" si="2"/>
        <v>92026.127628994174</v>
      </c>
      <c r="P18">
        <f t="shared" si="2"/>
        <v>92006.995372048958</v>
      </c>
      <c r="Q18">
        <f t="shared" si="2"/>
        <v>91987.821620550283</v>
      </c>
      <c r="R18">
        <f t="shared" si="2"/>
        <v>91968.720818349699</v>
      </c>
      <c r="S18">
        <f t="shared" si="2"/>
        <v>91949.811472369372</v>
      </c>
      <c r="T18">
        <f t="shared" si="2"/>
        <v>91931.206179199507</v>
      </c>
      <c r="U18">
        <f t="shared" si="2"/>
        <v>91913.020616873764</v>
      </c>
      <c r="V18">
        <f t="shared" si="2"/>
        <v>91895.362849905781</v>
      </c>
      <c r="W18">
        <f t="shared" si="2"/>
        <v>91878.342864820152</v>
      </c>
      <c r="X18">
        <f t="shared" si="2"/>
        <v>91862.061622040652</v>
      </c>
      <c r="Y18">
        <f t="shared" si="2"/>
        <v>91846.620690728014</v>
      </c>
      <c r="Z18">
        <f t="shared" si="2"/>
        <v>91832.111528092486</v>
      </c>
      <c r="AA18">
        <f t="shared" si="2"/>
        <v>91818.624765488639</v>
      </c>
      <c r="AB18">
        <f t="shared" si="2"/>
        <v>91806.240186532697</v>
      </c>
      <c r="AC18">
        <f t="shared" si="2"/>
        <v>91795.035233373841</v>
      </c>
      <c r="AD18">
        <f t="shared" si="2"/>
        <v>91785.076124800442</v>
      </c>
      <c r="AE18">
        <f t="shared" si="2"/>
        <v>91776.425188324021</v>
      </c>
      <c r="AF18">
        <f t="shared" si="2"/>
        <v>91769.13350964956</v>
      </c>
      <c r="AG18">
        <f t="shared" si="2"/>
        <v>91763.246750949227</v>
      </c>
      <c r="AH18">
        <f t="shared" si="2"/>
        <v>91758.799655831666</v>
      </c>
      <c r="AI18">
        <f t="shared" si="2"/>
        <v>91755.820084487452</v>
      </c>
    </row>
  </sheetData>
  <conditionalFormatting sqref="E14:AJ14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3:AJ18"/>
  <sheetViews>
    <sheetView tabSelected="1" topLeftCell="H7" workbookViewId="0">
      <selection activeCell="R28" sqref="R28"/>
    </sheetView>
  </sheetViews>
  <sheetFormatPr defaultRowHeight="14.5"/>
  <cols>
    <col min="7" max="7" width="9.1796875" bestFit="1" customWidth="1"/>
    <col min="8" max="8" width="12.6328125" bestFit="1" customWidth="1"/>
    <col min="9" max="9" width="12.81640625" bestFit="1" customWidth="1"/>
    <col min="10" max="10" width="12.1796875" bestFit="1" customWidth="1"/>
    <col min="11" max="11" width="12.81640625" bestFit="1" customWidth="1"/>
    <col min="12" max="12" width="12.6328125" bestFit="1" customWidth="1"/>
    <col min="13" max="13" width="12.81640625" bestFit="1" customWidth="1"/>
    <col min="14" max="14" width="12.6328125" bestFit="1" customWidth="1"/>
    <col min="15" max="15" width="12.81640625" bestFit="1" customWidth="1"/>
    <col min="16" max="16" width="12.6328125" bestFit="1" customWidth="1"/>
    <col min="17" max="17" width="12.81640625" bestFit="1" customWidth="1"/>
    <col min="18" max="18" width="12.6328125" bestFit="1" customWidth="1"/>
    <col min="19" max="19" width="12.81640625" bestFit="1" customWidth="1"/>
    <col min="20" max="20" width="12.453125" bestFit="1" customWidth="1"/>
    <col min="21" max="21" width="12.81640625" bestFit="1" customWidth="1"/>
    <col min="22" max="22" width="12.54296875" bestFit="1" customWidth="1"/>
    <col min="23" max="23" width="12.81640625" bestFit="1" customWidth="1"/>
    <col min="24" max="24" width="12.6328125" bestFit="1" customWidth="1"/>
    <col min="25" max="25" width="12.81640625" bestFit="1" customWidth="1"/>
    <col min="26" max="26" width="12.6328125" bestFit="1" customWidth="1"/>
    <col min="27" max="27" width="12.81640625" bestFit="1" customWidth="1"/>
    <col min="28" max="28" width="12.6328125" bestFit="1" customWidth="1"/>
    <col min="29" max="29" width="12.81640625" bestFit="1" customWidth="1"/>
    <col min="30" max="30" width="12.6328125" bestFit="1" customWidth="1"/>
    <col min="31" max="31" width="12.81640625" bestFit="1" customWidth="1"/>
    <col min="32" max="32" width="12.6328125" bestFit="1" customWidth="1"/>
    <col min="33" max="33" width="12.81640625" bestFit="1" customWidth="1"/>
    <col min="34" max="34" width="12.6328125" bestFit="1" customWidth="1"/>
    <col min="35" max="35" width="12.81640625" bestFit="1" customWidth="1"/>
  </cols>
  <sheetData>
    <row r="3" spans="1:36">
      <c r="B3" s="1" t="s">
        <v>0</v>
      </c>
      <c r="C3" s="1">
        <v>0.1</v>
      </c>
    </row>
    <row r="4" spans="1:36">
      <c r="B4" s="1" t="s">
        <v>1</v>
      </c>
      <c r="C4" s="1">
        <f>C3/30</f>
        <v>3.3333333333333335E-3</v>
      </c>
    </row>
    <row r="5" spans="1:36">
      <c r="B5" s="1" t="s">
        <v>2</v>
      </c>
      <c r="C5" s="1">
        <f>C18</f>
        <v>0.26000000000000006</v>
      </c>
    </row>
    <row r="6" spans="1:36">
      <c r="B6" s="1" t="s">
        <v>3</v>
      </c>
      <c r="C6" s="1">
        <v>60</v>
      </c>
      <c r="D6">
        <v>60.060000000000016</v>
      </c>
    </row>
    <row r="7" spans="1:36">
      <c r="B7" s="1"/>
      <c r="C7" s="1"/>
    </row>
    <row r="8" spans="1:36">
      <c r="A8">
        <v>450</v>
      </c>
      <c r="B8" s="1" t="s">
        <v>4</v>
      </c>
      <c r="C8" s="1">
        <v>460</v>
      </c>
    </row>
    <row r="9" spans="1:36">
      <c r="A9">
        <v>7800</v>
      </c>
      <c r="B9" s="1" t="s">
        <v>5</v>
      </c>
      <c r="C9" s="1">
        <v>7800</v>
      </c>
    </row>
    <row r="10" spans="1:36">
      <c r="A10">
        <v>75</v>
      </c>
      <c r="B10" s="1" t="s">
        <v>6</v>
      </c>
      <c r="C10" s="1">
        <v>46</v>
      </c>
    </row>
    <row r="11" spans="1:36">
      <c r="B11" s="1"/>
      <c r="C11" s="1"/>
    </row>
    <row r="12" spans="1:36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1:36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1:36">
      <c r="B14" s="1" t="s">
        <v>9</v>
      </c>
      <c r="C14" s="1">
        <v>100</v>
      </c>
      <c r="E14" s="1" t="s">
        <v>7</v>
      </c>
      <c r="F14" s="1">
        <v>300</v>
      </c>
      <c r="G14" s="1">
        <v>279.6777832932313</v>
      </c>
      <c r="H14" s="1">
        <v>259.48548607371117</v>
      </c>
      <c r="I14" s="1">
        <v>239.54946140546429</v>
      </c>
      <c r="J14" s="1">
        <v>219.98905894143218</v>
      </c>
      <c r="K14" s="1">
        <v>200.91344099667188</v>
      </c>
      <c r="L14" s="1">
        <v>182.41876402461108</v>
      </c>
      <c r="M14" s="1">
        <v>164.58582152611231</v>
      </c>
      <c r="N14" s="1">
        <v>147.47822454739674</v>
      </c>
      <c r="O14" s="1">
        <v>131.14117076713387</v>
      </c>
      <c r="P14" s="1">
        <v>115.60083593371471</v>
      </c>
      <c r="Q14" s="1">
        <v>100.86436074974156</v>
      </c>
      <c r="R14" s="1">
        <v>86.920533169111124</v>
      </c>
      <c r="S14" s="1">
        <v>73.740577831419671</v>
      </c>
      <c r="T14" s="1">
        <v>61.281348262421247</v>
      </c>
      <c r="U14" s="1">
        <v>61.281348262421247</v>
      </c>
      <c r="V14" s="1">
        <v>61.676382147765864</v>
      </c>
      <c r="W14" s="1">
        <v>62.471134934715927</v>
      </c>
      <c r="X14" s="1">
        <v>63.640355416038545</v>
      </c>
      <c r="Y14" s="1">
        <v>65.196844026661836</v>
      </c>
      <c r="Z14" s="1">
        <v>67.093205854708756</v>
      </c>
      <c r="AA14" s="1">
        <v>69.346816963593383</v>
      </c>
      <c r="AB14" s="1">
        <v>71.893891223225694</v>
      </c>
      <c r="AC14" s="1">
        <v>74.751190199943309</v>
      </c>
      <c r="AD14" s="1">
        <v>77.84608196473863</v>
      </c>
      <c r="AE14" s="1">
        <v>81.188812958994873</v>
      </c>
      <c r="AF14" s="1">
        <v>84.7061365548564</v>
      </c>
      <c r="AG14" s="1">
        <v>88.396260890317251</v>
      </c>
      <c r="AH14" s="1">
        <v>92.193053198489508</v>
      </c>
      <c r="AI14" s="1">
        <v>96.078591498293775</v>
      </c>
      <c r="AJ14" s="1">
        <f>C14</f>
        <v>100</v>
      </c>
    </row>
    <row r="17" spans="2:36">
      <c r="E17" s="1" t="s">
        <v>10</v>
      </c>
      <c r="F17" s="1"/>
      <c r="G17" s="4">
        <f>G14+(($C$10*$C$5)/($C$9*$C$8))*((H14-2*G14+F14)/($C$4^2))</f>
        <v>279.71675913940589</v>
      </c>
      <c r="H17" s="4">
        <f t="shared" ref="H17:S17" si="1">H14+(($C$10*$C$5)/($C$9*$C$8))*((I14-2*H14+G14)/($C$4^2))</f>
        <v>259.56236783909316</v>
      </c>
      <c r="I17" s="4">
        <f t="shared" si="1"/>
        <v>239.66214806672872</v>
      </c>
      <c r="J17" s="4">
        <f t="shared" si="1"/>
        <v>220.13449429721373</v>
      </c>
      <c r="K17" s="4">
        <f t="shared" si="1"/>
        <v>201.08772328848173</v>
      </c>
      <c r="L17" s="4">
        <f t="shared" si="1"/>
        <v>182.61728436667968</v>
      </c>
      <c r="M17" s="4">
        <f t="shared" si="1"/>
        <v>164.80342518204728</v>
      </c>
      <c r="N17" s="4">
        <f t="shared" si="1"/>
        <v>147.70938750693256</v>
      </c>
      <c r="O17" s="4">
        <f t="shared" si="1"/>
        <v>131.38018645118697</v>
      </c>
      <c r="P17" s="4">
        <f t="shared" si="1"/>
        <v>115.84199382854851</v>
      </c>
      <c r="Q17" s="4">
        <f t="shared" si="1"/>
        <v>101.10215503074437</v>
      </c>
      <c r="R17" s="4">
        <f t="shared" si="1"/>
        <v>87.149694841992826</v>
      </c>
      <c r="S17" s="4">
        <f t="shared" si="1"/>
        <v>73.95679556202758</v>
      </c>
      <c r="T17" s="4">
        <f>U17</f>
        <v>61.478865205093555</v>
      </c>
      <c r="U17" s="4">
        <f t="shared" ref="U17:AH17" si="2">U14+(($A$10*$C$5)/($A$9*$A$8))*((V14-2*U14+T14)/($C$4^2))</f>
        <v>61.478865205093555</v>
      </c>
      <c r="V17" s="4">
        <f t="shared" si="2"/>
        <v>61.876241598568583</v>
      </c>
      <c r="W17" s="4">
        <f t="shared" si="2"/>
        <v>62.658368781902205</v>
      </c>
      <c r="X17" s="4">
        <f t="shared" si="2"/>
        <v>63.833989480688885</v>
      </c>
      <c r="Y17" s="4">
        <f t="shared" si="2"/>
        <v>65.366780635373658</v>
      </c>
      <c r="Z17" s="4">
        <f t="shared" si="2"/>
        <v>67.271830495127602</v>
      </c>
      <c r="AA17" s="4">
        <f t="shared" si="2"/>
        <v>69.493548538967218</v>
      </c>
      <c r="AB17" s="4">
        <f t="shared" si="2"/>
        <v>72.049003581768346</v>
      </c>
      <c r="AC17" s="4">
        <f t="shared" si="2"/>
        <v>74.869986593982162</v>
      </c>
      <c r="AD17" s="4">
        <f t="shared" si="2"/>
        <v>77.970001579469098</v>
      </c>
      <c r="AE17" s="4">
        <f t="shared" si="2"/>
        <v>81.276109259797522</v>
      </c>
      <c r="AF17" s="4">
        <f t="shared" si="2"/>
        <v>84.792536924656062</v>
      </c>
      <c r="AG17" s="4">
        <f t="shared" si="2"/>
        <v>88.449594876672961</v>
      </c>
      <c r="AH17" s="4">
        <f t="shared" si="2"/>
        <v>92.237426194305513</v>
      </c>
      <c r="AI17" s="4">
        <f>AI14+(($A$10*$C$5)/($A$9*$A$8))*((AJ14-2*AI14+AH14)/($C$4^2))</f>
        <v>96.096526599244754</v>
      </c>
      <c r="AJ17" s="1"/>
    </row>
    <row r="18" spans="2:36">
      <c r="B18">
        <f>(C9*C8*C4^2)/(2*C10)</f>
        <v>0.4333333333333334</v>
      </c>
      <c r="C18">
        <f>(A9*A8*C4^2)/(2*A10)</f>
        <v>0.26000000000000006</v>
      </c>
    </row>
  </sheetData>
  <conditionalFormatting sqref="E14:AJ14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2021-03-19T05:56:54Z</dcterms:modified>
</cp:coreProperties>
</file>